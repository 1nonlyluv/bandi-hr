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jimmychoi/Library/Mobile Documents/com~apple~CloudDocs/bandihr/"/>
    </mc:Choice>
  </mc:AlternateContent>
  <xr:revisionPtr revIDLastSave="0" documentId="13_ncr:1_{D932F361-C566-CA40-B4C0-CC1C0E5EDD91}" xr6:coauthVersionLast="47" xr6:coauthVersionMax="47" xr10:uidLastSave="{00000000-0000-0000-0000-000000000000}"/>
  <bookViews>
    <workbookView xWindow="-32320" yWindow="1800" windowWidth="28800" windowHeight="17400" tabRatio="599" activeTab="14" xr2:uid="{00000000-000D-0000-FFFF-FFFF00000000}"/>
  </bookViews>
  <sheets>
    <sheet name="25년 9월" sheetId="169" r:id="rId1"/>
    <sheet name="25년 10월" sheetId="172" r:id="rId2"/>
    <sheet name="25년 10월 " sheetId="174" r:id="rId3"/>
    <sheet name="25년 11월" sheetId="175" r:id="rId4"/>
    <sheet name="25년 12월" sheetId="176" r:id="rId5"/>
    <sheet name="26년 1월" sheetId="177" r:id="rId6"/>
    <sheet name="26년 2월" sheetId="178" r:id="rId7"/>
    <sheet name="26년 3월" sheetId="179" r:id="rId8"/>
    <sheet name="26년 4월" sheetId="181" r:id="rId9"/>
    <sheet name="26년 5월" sheetId="182" r:id="rId10"/>
    <sheet name="26년 6월" sheetId="185" r:id="rId11"/>
    <sheet name="26년 7월" sheetId="195" r:id="rId12"/>
    <sheet name="26년 8월" sheetId="203" r:id="rId13"/>
    <sheet name="26년 9월" sheetId="207" r:id="rId14"/>
    <sheet name="26년10월" sheetId="209" r:id="rId15"/>
  </sheets>
  <externalReferences>
    <externalReference r:id="rId16"/>
  </externalReferences>
  <definedNames>
    <definedName name="_xlnm._FilterDatabase" localSheetId="1" hidden="1">'25년 10월'!$A$5:$AP$5</definedName>
    <definedName name="_xlnm._FilterDatabase" localSheetId="2" hidden="1">'25년 10월 '!$A$5:$AP$5</definedName>
    <definedName name="_xlnm._FilterDatabase" localSheetId="3" hidden="1">'25년 11월'!$A$5:$AP$5</definedName>
    <definedName name="_xlnm._FilterDatabase" localSheetId="4" hidden="1">'25년 12월'!$A$5:$AP$5</definedName>
    <definedName name="_xlnm._FilterDatabase" localSheetId="0" hidden="1">'25년 9월'!$A$5:$AP$5</definedName>
    <definedName name="_xlnm._FilterDatabase" localSheetId="5" hidden="1">'26년 1월'!$A$5:$AP$5</definedName>
    <definedName name="_xlnm._FilterDatabase" localSheetId="6" hidden="1">'26년 2월'!$A$5:$AP$5</definedName>
    <definedName name="_xlnm._FilterDatabase" localSheetId="7" hidden="1">'26년 3월'!$A$5:$AP$5</definedName>
    <definedName name="_xlnm._FilterDatabase" localSheetId="8" hidden="1">'26년 4월'!$A$5:$AP$5</definedName>
    <definedName name="_xlnm._FilterDatabase" localSheetId="9" hidden="1">'26년 5월'!$A$5:$AP$5</definedName>
    <definedName name="_xlnm._FilterDatabase" localSheetId="10" hidden="1">'26년 6월'!$A$5:$AP$5</definedName>
    <definedName name="_xlnm._FilterDatabase" localSheetId="11" hidden="1">'26년 7월'!$A$5:$AP$5</definedName>
    <definedName name="_xlnm._FilterDatabase" localSheetId="12" hidden="1">'26년 8월'!$A$5:$AP$5</definedName>
    <definedName name="_xlnm._FilterDatabase" localSheetId="13" hidden="1">'26년 9월'!$A$5:$AP$5</definedName>
    <definedName name="_xlnm._FilterDatabase" localSheetId="14" hidden="1">'26년10월'!$A$5:$AP$5</definedName>
    <definedName name="근무표변경" localSheetId="1">#REF!</definedName>
    <definedName name="근무표변경" localSheetId="2">#REF!</definedName>
    <definedName name="근무표변경" localSheetId="3">#REF!</definedName>
    <definedName name="근무표변경" localSheetId="4">#REF!</definedName>
    <definedName name="근무표변경" localSheetId="0">#REF!</definedName>
    <definedName name="근무표변경" localSheetId="5">#REF!</definedName>
    <definedName name="근무표변경" localSheetId="6">#REF!</definedName>
    <definedName name="근무표변경" localSheetId="7">#REF!</definedName>
    <definedName name="근무표변경" localSheetId="8">#REF!</definedName>
    <definedName name="근무표변경" localSheetId="9">#REF!</definedName>
    <definedName name="근무표변경" localSheetId="10">#REF!</definedName>
    <definedName name="근무표변경" localSheetId="11">#REF!</definedName>
    <definedName name="근무표변경" localSheetId="12">#REF!</definedName>
    <definedName name="근무표변경" localSheetId="13">#REF!</definedName>
    <definedName name="근무표변경" localSheetId="14">#REF!</definedName>
    <definedName name="근무표변경">#REF!</definedName>
    <definedName name="근무표변경12월" localSheetId="1">#REF!</definedName>
    <definedName name="근무표변경12월" localSheetId="2">#REF!</definedName>
    <definedName name="근무표변경12월" localSheetId="3">#REF!</definedName>
    <definedName name="근무표변경12월" localSheetId="4">#REF!</definedName>
    <definedName name="근무표변경12월" localSheetId="0">#REF!</definedName>
    <definedName name="근무표변경12월" localSheetId="5">#REF!</definedName>
    <definedName name="근무표변경12월" localSheetId="6">#REF!</definedName>
    <definedName name="근무표변경12월" localSheetId="7">#REF!</definedName>
    <definedName name="근무표변경12월" localSheetId="8">#REF!</definedName>
    <definedName name="근무표변경12월" localSheetId="9">#REF!</definedName>
    <definedName name="근무표변경12월" localSheetId="10">#REF!</definedName>
    <definedName name="근무표변경12월" localSheetId="11">#REF!</definedName>
    <definedName name="근무표변경12월" localSheetId="12">#REF!</definedName>
    <definedName name="근무표변경12월" localSheetId="13">#REF!</definedName>
    <definedName name="근무표변경12월" localSheetId="14">#REF!</definedName>
    <definedName name="근무표변경12월">#REF!</definedName>
    <definedName name="근무푤" localSheetId="1">#REF!</definedName>
    <definedName name="근무푤" localSheetId="2">#REF!</definedName>
    <definedName name="근무푤" localSheetId="3">#REF!</definedName>
    <definedName name="근무푤" localSheetId="4">#REF!</definedName>
    <definedName name="근무푤" localSheetId="0">#REF!</definedName>
    <definedName name="근무푤" localSheetId="5">#REF!</definedName>
    <definedName name="근무푤" localSheetId="6">#REF!</definedName>
    <definedName name="근무푤" localSheetId="7">#REF!</definedName>
    <definedName name="근무푤" localSheetId="8">#REF!</definedName>
    <definedName name="근무푤" localSheetId="9">#REF!</definedName>
    <definedName name="근무푤" localSheetId="10">#REF!</definedName>
    <definedName name="근무푤" localSheetId="11">#REF!</definedName>
    <definedName name="근무푤" localSheetId="12">#REF!</definedName>
    <definedName name="근무푤" localSheetId="13">#REF!</definedName>
    <definedName name="근무푤" localSheetId="14">#REF!</definedName>
    <definedName name="근무푤">#REF!</definedName>
    <definedName name="사층" localSheetId="1">#REF!</definedName>
    <definedName name="사층" localSheetId="2">#REF!</definedName>
    <definedName name="사층" localSheetId="3">#REF!</definedName>
    <definedName name="사층" localSheetId="4">#REF!</definedName>
    <definedName name="사층" localSheetId="0">#REF!</definedName>
    <definedName name="사층" localSheetId="5">#REF!</definedName>
    <definedName name="사층" localSheetId="6">#REF!</definedName>
    <definedName name="사층" localSheetId="7">#REF!</definedName>
    <definedName name="사층" localSheetId="8">#REF!</definedName>
    <definedName name="사층" localSheetId="9">#REF!</definedName>
    <definedName name="사층" localSheetId="10">#REF!</definedName>
    <definedName name="사층" localSheetId="11">#REF!</definedName>
    <definedName name="사층" localSheetId="12">#REF!</definedName>
    <definedName name="사층" localSheetId="13">#REF!</definedName>
    <definedName name="사층" localSheetId="14">#REF!</definedName>
    <definedName name="사층">#REF!</definedName>
    <definedName name="원본" localSheetId="1">#REF!</definedName>
    <definedName name="원본" localSheetId="2">#REF!</definedName>
    <definedName name="원본" localSheetId="3">#REF!</definedName>
    <definedName name="원본" localSheetId="4">#REF!</definedName>
    <definedName name="원본" localSheetId="0">#REF!</definedName>
    <definedName name="원본" localSheetId="5">#REF!</definedName>
    <definedName name="원본" localSheetId="6">#REF!</definedName>
    <definedName name="원본" localSheetId="7">#REF!</definedName>
    <definedName name="원본" localSheetId="8">#REF!</definedName>
    <definedName name="원본" localSheetId="9">#REF!</definedName>
    <definedName name="원본" localSheetId="10">#REF!</definedName>
    <definedName name="원본" localSheetId="11">#REF!</definedName>
    <definedName name="원본" localSheetId="12">#REF!</definedName>
    <definedName name="원본" localSheetId="13">#REF!</definedName>
    <definedName name="원본" localSheetId="14">#REF!</definedName>
    <definedName name="원본">#REF!</definedName>
    <definedName name="DASF" localSheetId="1">#REF!</definedName>
    <definedName name="DASF" localSheetId="2">#REF!</definedName>
    <definedName name="DASF" localSheetId="3">#REF!</definedName>
    <definedName name="DASF" localSheetId="4">#REF!</definedName>
    <definedName name="DASF" localSheetId="0">#REF!</definedName>
    <definedName name="DASF" localSheetId="5">#REF!</definedName>
    <definedName name="DASF" localSheetId="6">#REF!</definedName>
    <definedName name="DASF" localSheetId="7">#REF!</definedName>
    <definedName name="DASF" localSheetId="8">#REF!</definedName>
    <definedName name="DASF" localSheetId="9">#REF!</definedName>
    <definedName name="DASF" localSheetId="10">#REF!</definedName>
    <definedName name="DASF" localSheetId="11">#REF!</definedName>
    <definedName name="DASF" localSheetId="12">#REF!</definedName>
    <definedName name="DASF" localSheetId="13">#REF!</definedName>
    <definedName name="DASF" localSheetId="14">#REF!</definedName>
    <definedName name="DASF">#REF!</definedName>
    <definedName name="N" localSheetId="1">#REF!</definedName>
    <definedName name="N" localSheetId="2">#REF!</definedName>
    <definedName name="N" localSheetId="3">#REF!</definedName>
    <definedName name="N" localSheetId="4">#REF!</definedName>
    <definedName name="N" localSheetId="0">#REF!</definedName>
    <definedName name="N" localSheetId="5">#REF!</definedName>
    <definedName name="N" localSheetId="6">#REF!</definedName>
    <definedName name="N" localSheetId="7">#REF!</definedName>
    <definedName name="N" localSheetId="8">#REF!</definedName>
    <definedName name="N" localSheetId="9">#REF!</definedName>
    <definedName name="N" localSheetId="10">#REF!</definedName>
    <definedName name="N" localSheetId="11">#REF!</definedName>
    <definedName name="N" localSheetId="12">#REF!</definedName>
    <definedName name="N" localSheetId="13">#REF!</definedName>
    <definedName name="N" localSheetId="14">#REF!</definedName>
    <definedName name="N">#REF!</definedName>
    <definedName name="_xlnm.Print_Area" localSheetId="1">'25년 10월'!$A$1:$AO$28</definedName>
    <definedName name="_xlnm.Print_Area" localSheetId="2">'25년 10월 '!$A$1:$AO$29</definedName>
    <definedName name="_xlnm.Print_Area" localSheetId="3">'25년 11월'!$A$1:$AO$29</definedName>
    <definedName name="_xlnm.Print_Area" localSheetId="4">'25년 12월'!$A$1:$AO$29</definedName>
    <definedName name="_xlnm.Print_Area" localSheetId="0">'25년 9월'!$A$1:$AO$28</definedName>
    <definedName name="_xlnm.Print_Area" localSheetId="5">'26년 1월'!$A$1:$AO$29</definedName>
    <definedName name="_xlnm.Print_Area" localSheetId="6">'26년 2월'!$A$1:$AO$29</definedName>
    <definedName name="_xlnm.Print_Area" localSheetId="7">'26년 3월'!$A$1:$AO$29</definedName>
    <definedName name="_xlnm.Print_Area" localSheetId="8">'26년 4월'!$A$1:$AO$29</definedName>
    <definedName name="_xlnm.Print_Area" localSheetId="9">'26년 5월'!$A$1:$AO$29</definedName>
    <definedName name="_xlnm.Print_Area" localSheetId="10">'26년 6월'!$A$1:$AO$29</definedName>
    <definedName name="_xlnm.Print_Area" localSheetId="11">'26년 7월'!$A$1:$AO$29</definedName>
    <definedName name="_xlnm.Print_Area" localSheetId="12">'26년 8월'!$A$1:$AO$28</definedName>
    <definedName name="_xlnm.Print_Area" localSheetId="13">'26년 9월'!$A$1:$AO$28</definedName>
    <definedName name="_xlnm.Print_Area" localSheetId="14">'26년10월'!$A$1:$AO$29</definedName>
    <definedName name="Ranges" localSheetId="1">#REF!</definedName>
    <definedName name="Ranges" localSheetId="2">#REF!</definedName>
    <definedName name="Ranges" localSheetId="3">#REF!</definedName>
    <definedName name="Ranges" localSheetId="4">#REF!</definedName>
    <definedName name="Ranges" localSheetId="0">#REF!</definedName>
    <definedName name="Ranges" localSheetId="5">#REF!</definedName>
    <definedName name="Ranges" localSheetId="6">#REF!</definedName>
    <definedName name="Ranges" localSheetId="7">#REF!</definedName>
    <definedName name="Ranges" localSheetId="8">#REF!</definedName>
    <definedName name="Ranges" localSheetId="9">#REF!</definedName>
    <definedName name="Ranges" localSheetId="10">#REF!</definedName>
    <definedName name="Ranges" localSheetId="11">#REF!</definedName>
    <definedName name="Ranges" localSheetId="12">#REF!</definedName>
    <definedName name="Ranges" localSheetId="13">#REF!</definedName>
    <definedName name="Ranges" localSheetId="14">#REF!</definedName>
    <definedName name="Ranges">#REF!</definedName>
  </definedNames>
  <calcPr calcId="191029" iterateDelta="0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209" l="1"/>
  <c r="AM6" i="209"/>
  <c r="AN6" i="209"/>
  <c r="AO6" i="209" s="1"/>
  <c r="AL7" i="209"/>
  <c r="AM7" i="209"/>
  <c r="AN7" i="209"/>
  <c r="AO7" i="209" s="1"/>
  <c r="AL8" i="209"/>
  <c r="AM8" i="209"/>
  <c r="AN8" i="209"/>
  <c r="AO8" i="209" s="1"/>
  <c r="AL9" i="209"/>
  <c r="AM9" i="209"/>
  <c r="AN9" i="209"/>
  <c r="AO9" i="209" s="1"/>
  <c r="AL10" i="209"/>
  <c r="AM10" i="209"/>
  <c r="AN10" i="209"/>
  <c r="AO10" i="209" s="1"/>
  <c r="AL11" i="209"/>
  <c r="AM11" i="209"/>
  <c r="AN11" i="209"/>
  <c r="AO11" i="209" s="1"/>
  <c r="AL12" i="209"/>
  <c r="AM12" i="209"/>
  <c r="AN12" i="209"/>
  <c r="AO12" i="209" s="1"/>
  <c r="AL13" i="209"/>
  <c r="AM13" i="209"/>
  <c r="AN13" i="209"/>
  <c r="AO13" i="209" s="1"/>
  <c r="AL14" i="209"/>
  <c r="AM14" i="209"/>
  <c r="AN14" i="209"/>
  <c r="AO14" i="209" s="1"/>
  <c r="AL15" i="209"/>
  <c r="AM15" i="209"/>
  <c r="AN15" i="209"/>
  <c r="AO15" i="209" s="1"/>
  <c r="AL16" i="209"/>
  <c r="AM16" i="209"/>
  <c r="AN16" i="209"/>
  <c r="AO16" i="209" s="1"/>
  <c r="AL17" i="209"/>
  <c r="AM17" i="209"/>
  <c r="AO17" i="209"/>
  <c r="AL18" i="209"/>
  <c r="AM18" i="209"/>
  <c r="AN18" i="209"/>
  <c r="AO18" i="209"/>
  <c r="AL19" i="209"/>
  <c r="AO19" i="209" s="1"/>
  <c r="AM19" i="209"/>
  <c r="AL20" i="209"/>
  <c r="AM20" i="209"/>
  <c r="AN20" i="209"/>
  <c r="AO20" i="209" s="1"/>
  <c r="AL21" i="209"/>
  <c r="AM21" i="209"/>
  <c r="AN21" i="209"/>
  <c r="AO21" i="209" s="1"/>
  <c r="AL22" i="209"/>
  <c r="AM22" i="209"/>
  <c r="AN22" i="209"/>
  <c r="AO22" i="209" s="1"/>
  <c r="AL23" i="209"/>
  <c r="AM23" i="209"/>
  <c r="AN23" i="209"/>
  <c r="AO23" i="209" s="1"/>
  <c r="AL24" i="209"/>
  <c r="AM24" i="209"/>
  <c r="AN24" i="209"/>
  <c r="AO24" i="209" s="1"/>
  <c r="G25" i="209"/>
  <c r="AL25" i="209" s="1"/>
  <c r="H25" i="209"/>
  <c r="I25" i="209"/>
  <c r="I32" i="209" s="1"/>
  <c r="J25" i="209"/>
  <c r="K25" i="209"/>
  <c r="L25" i="209"/>
  <c r="M25" i="209"/>
  <c r="N25" i="209"/>
  <c r="O25" i="209"/>
  <c r="P25" i="209"/>
  <c r="Q25" i="209"/>
  <c r="Q32" i="209" s="1"/>
  <c r="R25" i="209"/>
  <c r="S25" i="209"/>
  <c r="AM25" i="209" s="1"/>
  <c r="T25" i="209"/>
  <c r="U25" i="209"/>
  <c r="V25" i="209"/>
  <c r="W25" i="209"/>
  <c r="W32" i="209" s="1"/>
  <c r="X25" i="209"/>
  <c r="Y25" i="209"/>
  <c r="Y32" i="209" s="1"/>
  <c r="Z25" i="209"/>
  <c r="AA25" i="209"/>
  <c r="AB25" i="209"/>
  <c r="AC25" i="209"/>
  <c r="AD25" i="209"/>
  <c r="AE25" i="209"/>
  <c r="AE32" i="209" s="1"/>
  <c r="AF25" i="209"/>
  <c r="AG25" i="209"/>
  <c r="AG32" i="209" s="1"/>
  <c r="AH25" i="209"/>
  <c r="AI25" i="209"/>
  <c r="AJ25" i="209"/>
  <c r="AK25" i="209"/>
  <c r="AK32" i="209" s="1"/>
  <c r="G26" i="209"/>
  <c r="H26" i="209"/>
  <c r="H32" i="209" s="1"/>
  <c r="I26" i="209"/>
  <c r="J26" i="209"/>
  <c r="K26" i="209"/>
  <c r="L26" i="209"/>
  <c r="M26" i="209"/>
  <c r="N26" i="209"/>
  <c r="O26" i="209"/>
  <c r="P26" i="209"/>
  <c r="P32" i="209" s="1"/>
  <c r="Q26" i="209"/>
  <c r="R26" i="209"/>
  <c r="S26" i="209"/>
  <c r="T26" i="209"/>
  <c r="U26" i="209"/>
  <c r="V26" i="209"/>
  <c r="W26" i="209"/>
  <c r="X26" i="209"/>
  <c r="X32" i="209" s="1"/>
  <c r="Y26" i="209"/>
  <c r="Z26" i="209"/>
  <c r="AA26" i="209"/>
  <c r="AB26" i="209"/>
  <c r="AC26" i="209"/>
  <c r="AD26" i="209"/>
  <c r="AE26" i="209"/>
  <c r="AF26" i="209"/>
  <c r="AF32" i="209" s="1"/>
  <c r="AG26" i="209"/>
  <c r="AH26" i="209"/>
  <c r="AI26" i="209"/>
  <c r="AJ26" i="209"/>
  <c r="AK26" i="209"/>
  <c r="G27" i="209"/>
  <c r="G32" i="209" s="1"/>
  <c r="H27" i="209"/>
  <c r="I27" i="209"/>
  <c r="J27" i="209"/>
  <c r="J32" i="209" s="1"/>
  <c r="K27" i="209"/>
  <c r="L27" i="209"/>
  <c r="M27" i="209"/>
  <c r="M32" i="209" s="1"/>
  <c r="N27" i="209"/>
  <c r="O27" i="209"/>
  <c r="O32" i="209" s="1"/>
  <c r="P27" i="209"/>
  <c r="Q27" i="209"/>
  <c r="R27" i="209"/>
  <c r="R32" i="209" s="1"/>
  <c r="S27" i="209"/>
  <c r="T27" i="209"/>
  <c r="U27" i="209"/>
  <c r="U32" i="209" s="1"/>
  <c r="V27" i="209"/>
  <c r="W27" i="209"/>
  <c r="X27" i="209"/>
  <c r="Y27" i="209"/>
  <c r="Z27" i="209"/>
  <c r="Z32" i="209" s="1"/>
  <c r="AA27" i="209"/>
  <c r="AA32" i="209" s="1"/>
  <c r="AB27" i="209"/>
  <c r="AC27" i="209"/>
  <c r="AC32" i="209" s="1"/>
  <c r="AD27" i="209"/>
  <c r="AE27" i="209"/>
  <c r="AF27" i="209"/>
  <c r="AG27" i="209"/>
  <c r="AH27" i="209"/>
  <c r="AH32" i="209" s="1"/>
  <c r="AI27" i="209"/>
  <c r="AI32" i="209" s="1"/>
  <c r="AJ27" i="209"/>
  <c r="AK27" i="209"/>
  <c r="K32" i="209"/>
  <c r="L32" i="209"/>
  <c r="N32" i="209"/>
  <c r="T32" i="209"/>
  <c r="V32" i="209"/>
  <c r="AB32" i="209"/>
  <c r="AD32" i="209"/>
  <c r="AJ32" i="209"/>
  <c r="S32" i="209" l="1"/>
  <c r="AN25" i="209"/>
  <c r="AO25" i="209" s="1"/>
  <c r="AL6" i="207"/>
  <c r="AM6" i="207"/>
  <c r="AN6" i="207"/>
  <c r="AO6" i="207" s="1"/>
  <c r="AL7" i="207"/>
  <c r="AM7" i="207"/>
  <c r="AN7" i="207"/>
  <c r="AO7" i="207" s="1"/>
  <c r="AL8" i="207"/>
  <c r="AM8" i="207"/>
  <c r="AN8" i="207"/>
  <c r="AO8" i="207" s="1"/>
  <c r="AL9" i="207"/>
  <c r="AM9" i="207"/>
  <c r="AN9" i="207"/>
  <c r="AO9" i="207" s="1"/>
  <c r="AL10" i="207"/>
  <c r="AM10" i="207"/>
  <c r="AN10" i="207"/>
  <c r="AO10" i="207" s="1"/>
  <c r="AL11" i="207"/>
  <c r="AM11" i="207"/>
  <c r="AN11" i="207"/>
  <c r="AO11" i="207" s="1"/>
  <c r="AL12" i="207"/>
  <c r="AM12" i="207"/>
  <c r="AN12" i="207"/>
  <c r="AO12" i="207" s="1"/>
  <c r="AL13" i="207"/>
  <c r="AM13" i="207"/>
  <c r="AN13" i="207"/>
  <c r="AO13" i="207" s="1"/>
  <c r="AL14" i="207"/>
  <c r="AM14" i="207"/>
  <c r="AN14" i="207"/>
  <c r="AO14" i="207" s="1"/>
  <c r="AL15" i="207"/>
  <c r="AM15" i="207"/>
  <c r="AN15" i="207"/>
  <c r="AO15" i="207" s="1"/>
  <c r="AL16" i="207"/>
  <c r="AM16" i="207"/>
  <c r="AN16" i="207"/>
  <c r="AO16" i="207" s="1"/>
  <c r="AL17" i="207"/>
  <c r="AM17" i="207"/>
  <c r="AN17" i="207"/>
  <c r="AO17" i="207" s="1"/>
  <c r="AL18" i="207"/>
  <c r="AM18" i="207"/>
  <c r="AN18" i="207"/>
  <c r="AO18" i="207" s="1"/>
  <c r="AL19" i="207"/>
  <c r="AM19" i="207"/>
  <c r="AN19" i="207"/>
  <c r="AO19" i="207" s="1"/>
  <c r="AL20" i="207"/>
  <c r="AM20" i="207"/>
  <c r="AN20" i="207"/>
  <c r="AO20" i="207" s="1"/>
  <c r="AL21" i="207"/>
  <c r="AM21" i="207"/>
  <c r="AN21" i="207"/>
  <c r="AO21" i="207" s="1"/>
  <c r="AL22" i="207"/>
  <c r="AM22" i="207"/>
  <c r="AN22" i="207"/>
  <c r="AO22" i="207" s="1"/>
  <c r="AL23" i="207"/>
  <c r="AM23" i="207"/>
  <c r="AN23" i="207"/>
  <c r="AO23" i="207" s="1"/>
  <c r="AL24" i="207"/>
  <c r="AM24" i="207"/>
  <c r="AN24" i="207"/>
  <c r="AO24" i="207" s="1"/>
  <c r="G25" i="207"/>
  <c r="H25" i="207"/>
  <c r="I25" i="207"/>
  <c r="J25" i="207"/>
  <c r="K25" i="207"/>
  <c r="L25" i="207"/>
  <c r="N25" i="207"/>
  <c r="O25" i="207"/>
  <c r="P25" i="207"/>
  <c r="AM25" i="207" s="1"/>
  <c r="Q25" i="207"/>
  <c r="R25" i="207"/>
  <c r="S25" i="207"/>
  <c r="T25" i="207"/>
  <c r="U25" i="207"/>
  <c r="Y25" i="207"/>
  <c r="Z25" i="207"/>
  <c r="AA25" i="207"/>
  <c r="AB25" i="207"/>
  <c r="AC25" i="207"/>
  <c r="AD25" i="207"/>
  <c r="AE25" i="207"/>
  <c r="AF25" i="207"/>
  <c r="AG25" i="207"/>
  <c r="AH25" i="207"/>
  <c r="AI25" i="207"/>
  <c r="AJ25" i="207"/>
  <c r="AK25" i="207"/>
  <c r="G26" i="207"/>
  <c r="H26" i="207"/>
  <c r="I26" i="207"/>
  <c r="J26" i="207"/>
  <c r="K26" i="207"/>
  <c r="L26" i="207"/>
  <c r="M26" i="207"/>
  <c r="N26" i="207"/>
  <c r="O26" i="207"/>
  <c r="P26" i="207"/>
  <c r="Q26" i="207"/>
  <c r="R26" i="207"/>
  <c r="S26" i="207"/>
  <c r="T26" i="207"/>
  <c r="U26" i="207"/>
  <c r="V26" i="207"/>
  <c r="W26" i="207"/>
  <c r="X26" i="207"/>
  <c r="Y26" i="207"/>
  <c r="Z26" i="207"/>
  <c r="AA26" i="207"/>
  <c r="AB26" i="207"/>
  <c r="AC26" i="207"/>
  <c r="AD26" i="207"/>
  <c r="AE26" i="207"/>
  <c r="AF26" i="207"/>
  <c r="AG26" i="207"/>
  <c r="AH26" i="207"/>
  <c r="AI26" i="207"/>
  <c r="AJ26" i="207"/>
  <c r="AK26" i="207"/>
  <c r="G27" i="207"/>
  <c r="H27" i="207"/>
  <c r="I27" i="207"/>
  <c r="J27" i="207"/>
  <c r="K27" i="207"/>
  <c r="L27" i="207"/>
  <c r="N27" i="207"/>
  <c r="O27" i="207"/>
  <c r="P27" i="207"/>
  <c r="Q27" i="207"/>
  <c r="R27" i="207"/>
  <c r="S27" i="207"/>
  <c r="T27" i="207"/>
  <c r="U27" i="207"/>
  <c r="Y27" i="207"/>
  <c r="Z27" i="207"/>
  <c r="AA27" i="207"/>
  <c r="AB27" i="207"/>
  <c r="AC27" i="207"/>
  <c r="AD27" i="207"/>
  <c r="AE27" i="207"/>
  <c r="AF27" i="207"/>
  <c r="AG27" i="207"/>
  <c r="AH27" i="207"/>
  <c r="AI27" i="207"/>
  <c r="AJ27" i="207"/>
  <c r="AK27" i="207"/>
  <c r="AL6" i="203"/>
  <c r="AM6" i="203"/>
  <c r="AN6" i="203"/>
  <c r="AO6" i="203" s="1"/>
  <c r="AL7" i="203"/>
  <c r="AM7" i="203"/>
  <c r="AN7" i="203"/>
  <c r="AO7" i="203" s="1"/>
  <c r="AL8" i="203"/>
  <c r="AM8" i="203"/>
  <c r="AN8" i="203"/>
  <c r="AO8" i="203" s="1"/>
  <c r="AL9" i="203"/>
  <c r="AO9" i="203" s="1"/>
  <c r="AM9" i="203"/>
  <c r="AL10" i="203"/>
  <c r="AM10" i="203"/>
  <c r="AN10" i="203"/>
  <c r="AO10" i="203" s="1"/>
  <c r="AL11" i="203"/>
  <c r="AM11" i="203"/>
  <c r="AN11" i="203"/>
  <c r="AO11" i="203" s="1"/>
  <c r="AL12" i="203"/>
  <c r="AM12" i="203"/>
  <c r="AN12" i="203"/>
  <c r="AO12" i="203" s="1"/>
  <c r="AL13" i="203"/>
  <c r="AM13" i="203"/>
  <c r="AN13" i="203"/>
  <c r="AO13" i="203" s="1"/>
  <c r="AL14" i="203"/>
  <c r="AO14" i="203" s="1"/>
  <c r="AM14" i="203"/>
  <c r="AL15" i="203"/>
  <c r="AM15" i="203"/>
  <c r="AN15" i="203"/>
  <c r="AO15" i="203" s="1"/>
  <c r="AL16" i="203"/>
  <c r="AM16" i="203"/>
  <c r="AN16" i="203"/>
  <c r="AO16" i="203" s="1"/>
  <c r="AL17" i="203"/>
  <c r="AM17" i="203"/>
  <c r="AN17" i="203"/>
  <c r="AO17" i="203" s="1"/>
  <c r="AL18" i="203"/>
  <c r="AM18" i="203"/>
  <c r="AN18" i="203"/>
  <c r="AO18" i="203" s="1"/>
  <c r="AL19" i="203"/>
  <c r="AM19" i="203"/>
  <c r="AN19" i="203"/>
  <c r="AO19" i="203" s="1"/>
  <c r="AL20" i="203"/>
  <c r="AM20" i="203"/>
  <c r="AN20" i="203"/>
  <c r="AO20" i="203" s="1"/>
  <c r="AL21" i="203"/>
  <c r="AM21" i="203"/>
  <c r="AN21" i="203"/>
  <c r="AO21" i="203" s="1"/>
  <c r="AL22" i="203"/>
  <c r="AM22" i="203"/>
  <c r="AN22" i="203"/>
  <c r="AO22" i="203" s="1"/>
  <c r="AL23" i="203"/>
  <c r="AM23" i="203"/>
  <c r="AN23" i="203"/>
  <c r="AO23" i="203" s="1"/>
  <c r="AL24" i="203"/>
  <c r="AM24" i="203"/>
  <c r="AN24" i="203"/>
  <c r="AO24" i="203" s="1"/>
  <c r="G25" i="203"/>
  <c r="H25" i="203"/>
  <c r="J25" i="203"/>
  <c r="K25" i="203"/>
  <c r="M25" i="203"/>
  <c r="N25" i="203"/>
  <c r="O25" i="203"/>
  <c r="P25" i="203"/>
  <c r="Q25" i="203"/>
  <c r="R25" i="203"/>
  <c r="S25" i="203"/>
  <c r="U25" i="203"/>
  <c r="V25" i="203"/>
  <c r="W25" i="203"/>
  <c r="Y25" i="203"/>
  <c r="AB25" i="203"/>
  <c r="AC25" i="203"/>
  <c r="AD25" i="203"/>
  <c r="AH25" i="203"/>
  <c r="AI25" i="203"/>
  <c r="AJ25" i="203"/>
  <c r="G26" i="203"/>
  <c r="H26" i="203"/>
  <c r="I26" i="203"/>
  <c r="J26" i="203"/>
  <c r="K26" i="203"/>
  <c r="L26" i="203"/>
  <c r="M26" i="203"/>
  <c r="N26" i="203"/>
  <c r="O26" i="203"/>
  <c r="P26" i="203"/>
  <c r="Q26" i="203"/>
  <c r="R26" i="203"/>
  <c r="S26" i="203"/>
  <c r="U26" i="203"/>
  <c r="V26" i="203"/>
  <c r="W26" i="203"/>
  <c r="Y26" i="203"/>
  <c r="Z26" i="203"/>
  <c r="AA26" i="203"/>
  <c r="AB26" i="203"/>
  <c r="AC26" i="203"/>
  <c r="AD26" i="203"/>
  <c r="AE26" i="203"/>
  <c r="AH26" i="203"/>
  <c r="AI26" i="203"/>
  <c r="AJ26" i="203"/>
  <c r="G27" i="203"/>
  <c r="H27" i="203"/>
  <c r="J27" i="203"/>
  <c r="K27" i="203"/>
  <c r="M27" i="203"/>
  <c r="N27" i="203"/>
  <c r="O27" i="203"/>
  <c r="P27" i="203"/>
  <c r="Q27" i="203"/>
  <c r="R27" i="203"/>
  <c r="S27" i="203"/>
  <c r="U27" i="203"/>
  <c r="V27" i="203"/>
  <c r="W27" i="203"/>
  <c r="Y27" i="203"/>
  <c r="AB27" i="203"/>
  <c r="AC27" i="203"/>
  <c r="AD27" i="203"/>
  <c r="AF27" i="203"/>
  <c r="AG27" i="203"/>
  <c r="AH27" i="203"/>
  <c r="AI27" i="203"/>
  <c r="AJ27" i="203"/>
  <c r="AK27" i="203"/>
  <c r="AL6" i="195"/>
  <c r="AM6" i="195"/>
  <c r="AN6" i="195"/>
  <c r="AO6" i="195" s="1"/>
  <c r="AL7" i="195"/>
  <c r="AM7" i="195"/>
  <c r="AN7" i="195"/>
  <c r="AO7" i="195" s="1"/>
  <c r="AL8" i="195"/>
  <c r="AM8" i="195"/>
  <c r="AN8" i="195"/>
  <c r="AO8" i="195" s="1"/>
  <c r="AL9" i="195"/>
  <c r="AM9" i="195"/>
  <c r="AN9" i="195"/>
  <c r="AL10" i="195"/>
  <c r="AO10" i="195" s="1"/>
  <c r="AM10" i="195"/>
  <c r="AN10" i="195"/>
  <c r="AL11" i="195"/>
  <c r="AM11" i="195"/>
  <c r="AN11" i="195"/>
  <c r="AO11" i="195" s="1"/>
  <c r="AL12" i="195"/>
  <c r="AM12" i="195"/>
  <c r="AN12" i="195"/>
  <c r="AO12" i="195" s="1"/>
  <c r="AL13" i="195"/>
  <c r="AM13" i="195"/>
  <c r="AN13" i="195"/>
  <c r="AO13" i="195" s="1"/>
  <c r="AL14" i="195"/>
  <c r="AM14" i="195"/>
  <c r="AN14" i="195"/>
  <c r="AO14" i="195" s="1"/>
  <c r="AL15" i="195"/>
  <c r="AM15" i="195"/>
  <c r="AN15" i="195"/>
  <c r="AO15" i="195" s="1"/>
  <c r="AL16" i="195"/>
  <c r="AM16" i="195"/>
  <c r="AN16" i="195"/>
  <c r="AO16" i="195" s="1"/>
  <c r="AL17" i="195"/>
  <c r="AM17" i="195"/>
  <c r="AN17" i="195"/>
  <c r="AO17" i="195"/>
  <c r="AL18" i="195"/>
  <c r="AM18" i="195"/>
  <c r="AN18" i="195"/>
  <c r="AO18" i="195"/>
  <c r="AL19" i="195"/>
  <c r="AM19" i="195"/>
  <c r="AN19" i="195"/>
  <c r="AO19" i="195" s="1"/>
  <c r="AL20" i="195"/>
  <c r="AM20" i="195"/>
  <c r="AN20" i="195"/>
  <c r="AO20" i="195" s="1"/>
  <c r="AL21" i="195"/>
  <c r="AM21" i="195"/>
  <c r="AN21" i="195"/>
  <c r="AO21" i="195" s="1"/>
  <c r="AL22" i="195"/>
  <c r="AM22" i="195"/>
  <c r="AN22" i="195"/>
  <c r="AO22" i="195" s="1"/>
  <c r="AL23" i="195"/>
  <c r="AM23" i="195"/>
  <c r="AN23" i="195"/>
  <c r="AO23" i="195" s="1"/>
  <c r="AL24" i="195"/>
  <c r="AM24" i="195"/>
  <c r="AN24" i="195"/>
  <c r="AO24" i="195" s="1"/>
  <c r="AL25" i="195"/>
  <c r="AM25" i="195"/>
  <c r="AN25" i="195"/>
  <c r="AO25" i="195" s="1"/>
  <c r="G26" i="195"/>
  <c r="H26" i="195"/>
  <c r="I26" i="195"/>
  <c r="J26" i="195"/>
  <c r="K26" i="195"/>
  <c r="L26" i="195"/>
  <c r="M26" i="195"/>
  <c r="N26" i="195"/>
  <c r="O26" i="195"/>
  <c r="P26" i="195"/>
  <c r="Q26" i="195"/>
  <c r="R26" i="195"/>
  <c r="S26" i="195"/>
  <c r="T26" i="195"/>
  <c r="U26" i="195"/>
  <c r="V26" i="195"/>
  <c r="W26" i="195"/>
  <c r="X26" i="195"/>
  <c r="Y26" i="195"/>
  <c r="Z26" i="195"/>
  <c r="AA26" i="195"/>
  <c r="AB26" i="195"/>
  <c r="AC26" i="195"/>
  <c r="AD26" i="195"/>
  <c r="AE26" i="195"/>
  <c r="AF26" i="195"/>
  <c r="AG26" i="195"/>
  <c r="AK26" i="195"/>
  <c r="G27" i="195"/>
  <c r="H27" i="195"/>
  <c r="I27" i="195"/>
  <c r="J27" i="195"/>
  <c r="K27" i="195"/>
  <c r="L27" i="195"/>
  <c r="M27" i="195"/>
  <c r="N27" i="195"/>
  <c r="O27" i="195"/>
  <c r="P27" i="195"/>
  <c r="Q27" i="195"/>
  <c r="R27" i="195"/>
  <c r="S27" i="195"/>
  <c r="T27" i="195"/>
  <c r="U27" i="195"/>
  <c r="V27" i="195"/>
  <c r="W27" i="195"/>
  <c r="X27" i="195"/>
  <c r="Y27" i="195"/>
  <c r="Z27" i="195"/>
  <c r="AA27" i="195"/>
  <c r="AB27" i="195"/>
  <c r="AC27" i="195"/>
  <c r="AD27" i="195"/>
  <c r="AE27" i="195"/>
  <c r="AF27" i="195"/>
  <c r="AG27" i="195"/>
  <c r="AH27" i="195"/>
  <c r="AI27" i="195"/>
  <c r="AJ27" i="195"/>
  <c r="AK27" i="195"/>
  <c r="G28" i="195"/>
  <c r="H28" i="195"/>
  <c r="I28" i="195"/>
  <c r="J28" i="195"/>
  <c r="K28" i="195"/>
  <c r="L28" i="195"/>
  <c r="M28" i="195"/>
  <c r="N28" i="195"/>
  <c r="O28" i="195"/>
  <c r="P28" i="195"/>
  <c r="Q28" i="195"/>
  <c r="R28" i="195"/>
  <c r="S28" i="195"/>
  <c r="T28" i="195"/>
  <c r="U28" i="195"/>
  <c r="V28" i="195"/>
  <c r="W28" i="195"/>
  <c r="X28" i="195"/>
  <c r="Y28" i="195"/>
  <c r="Z28" i="195"/>
  <c r="AA28" i="195"/>
  <c r="AB28" i="195"/>
  <c r="AC28" i="195"/>
  <c r="AD28" i="195"/>
  <c r="AE28" i="195"/>
  <c r="AF28" i="195"/>
  <c r="AG28" i="195"/>
  <c r="AK28" i="195"/>
  <c r="AL6" i="185"/>
  <c r="AM6" i="185"/>
  <c r="AN6" i="185"/>
  <c r="AO6" i="185" s="1"/>
  <c r="AL7" i="185"/>
  <c r="AM7" i="185"/>
  <c r="AN7" i="185"/>
  <c r="AO7" i="185" s="1"/>
  <c r="AL8" i="185"/>
  <c r="AM8" i="185"/>
  <c r="AN8" i="185"/>
  <c r="AO8" i="185" s="1"/>
  <c r="AL9" i="185"/>
  <c r="AM9" i="185"/>
  <c r="AN9" i="185"/>
  <c r="AL10" i="185"/>
  <c r="AM10" i="185"/>
  <c r="AN10" i="185"/>
  <c r="AL11" i="185"/>
  <c r="AM11" i="185"/>
  <c r="AN11" i="185"/>
  <c r="AO11" i="185" s="1"/>
  <c r="AL12" i="185"/>
  <c r="AM12" i="185"/>
  <c r="AN12" i="185"/>
  <c r="AO12" i="185" s="1"/>
  <c r="AL13" i="185"/>
  <c r="AM13" i="185"/>
  <c r="AN13" i="185"/>
  <c r="AO13" i="185" s="1"/>
  <c r="AL14" i="185"/>
  <c r="AM14" i="185"/>
  <c r="AN14" i="185"/>
  <c r="AO14" i="185" s="1"/>
  <c r="AL15" i="185"/>
  <c r="AM15" i="185"/>
  <c r="AN15" i="185"/>
  <c r="AO15" i="185" s="1"/>
  <c r="AL16" i="185"/>
  <c r="AM16" i="185"/>
  <c r="AN16" i="185"/>
  <c r="AO16" i="185" s="1"/>
  <c r="AL17" i="185"/>
  <c r="AM17" i="185"/>
  <c r="AN17" i="185"/>
  <c r="AL18" i="185"/>
  <c r="AM18" i="185"/>
  <c r="AN18" i="185"/>
  <c r="AO18" i="185"/>
  <c r="AL19" i="185"/>
  <c r="AM19" i="185"/>
  <c r="AN19" i="185"/>
  <c r="AO19" i="185" s="1"/>
  <c r="AL20" i="185"/>
  <c r="AM20" i="185"/>
  <c r="AN20" i="185"/>
  <c r="AL21" i="185"/>
  <c r="AM21" i="185"/>
  <c r="AN21" i="185"/>
  <c r="AL22" i="185"/>
  <c r="AM22" i="185"/>
  <c r="AN22" i="185"/>
  <c r="AL23" i="185"/>
  <c r="AM23" i="185"/>
  <c r="AN23" i="185"/>
  <c r="AO23" i="185" s="1"/>
  <c r="AL24" i="185"/>
  <c r="AM24" i="185"/>
  <c r="AN24" i="185"/>
  <c r="AO24" i="185" s="1"/>
  <c r="AL25" i="185"/>
  <c r="AM25" i="185"/>
  <c r="AN25" i="185"/>
  <c r="AO25" i="185" s="1"/>
  <c r="G26" i="185"/>
  <c r="H26" i="185"/>
  <c r="I26" i="185"/>
  <c r="J26" i="185"/>
  <c r="K26" i="185"/>
  <c r="L26" i="185"/>
  <c r="M26" i="185"/>
  <c r="N26" i="185"/>
  <c r="O26" i="185"/>
  <c r="P26" i="185"/>
  <c r="Q26" i="185"/>
  <c r="R26" i="185"/>
  <c r="S26" i="185"/>
  <c r="T26" i="185"/>
  <c r="U26" i="185"/>
  <c r="V26" i="185"/>
  <c r="W26" i="185"/>
  <c r="X26" i="185"/>
  <c r="Y26" i="185"/>
  <c r="Z26" i="185"/>
  <c r="AA26" i="185"/>
  <c r="AB26" i="185"/>
  <c r="AC26" i="185"/>
  <c r="AD26" i="185"/>
  <c r="AE26" i="185"/>
  <c r="AF26" i="185"/>
  <c r="AG26" i="185"/>
  <c r="AH26" i="185"/>
  <c r="AI26" i="185"/>
  <c r="AJ26" i="185"/>
  <c r="AK26" i="185"/>
  <c r="G27" i="185"/>
  <c r="H27" i="185"/>
  <c r="I27" i="185"/>
  <c r="J27" i="185"/>
  <c r="K27" i="185"/>
  <c r="L27" i="185"/>
  <c r="M27" i="185"/>
  <c r="N27" i="185"/>
  <c r="O27" i="185"/>
  <c r="P27" i="185"/>
  <c r="Q27" i="185"/>
  <c r="R27" i="185"/>
  <c r="S27" i="185"/>
  <c r="T27" i="185"/>
  <c r="U27" i="185"/>
  <c r="V27" i="185"/>
  <c r="W27" i="185"/>
  <c r="X27" i="185"/>
  <c r="Y27" i="185"/>
  <c r="Z27" i="185"/>
  <c r="AA27" i="185"/>
  <c r="AB27" i="185"/>
  <c r="AC27" i="185"/>
  <c r="AD27" i="185"/>
  <c r="AE27" i="185"/>
  <c r="AF27" i="185"/>
  <c r="AG27" i="185"/>
  <c r="AH27" i="185"/>
  <c r="AI27" i="185"/>
  <c r="AJ27" i="185"/>
  <c r="AK27" i="185"/>
  <c r="G28" i="185"/>
  <c r="H28" i="185"/>
  <c r="I28" i="185"/>
  <c r="J28" i="185"/>
  <c r="K28" i="185"/>
  <c r="L28" i="185"/>
  <c r="M28" i="185"/>
  <c r="N28" i="185"/>
  <c r="O28" i="185"/>
  <c r="P28" i="185"/>
  <c r="Q28" i="185"/>
  <c r="R28" i="185"/>
  <c r="S28" i="185"/>
  <c r="T28" i="185"/>
  <c r="U28" i="185"/>
  <c r="V28" i="185"/>
  <c r="W28" i="185"/>
  <c r="X28" i="185"/>
  <c r="Y28" i="185"/>
  <c r="Z28" i="185"/>
  <c r="AA28" i="185"/>
  <c r="AB28" i="185"/>
  <c r="AC28" i="185"/>
  <c r="AD28" i="185"/>
  <c r="AE28" i="185"/>
  <c r="AF28" i="185"/>
  <c r="AG28" i="185"/>
  <c r="AH28" i="185"/>
  <c r="AI28" i="185"/>
  <c r="AJ28" i="185"/>
  <c r="AK28" i="185"/>
  <c r="AN25" i="207" l="1"/>
  <c r="AO25" i="207" s="1"/>
  <c r="AL25" i="207"/>
  <c r="AM25" i="203"/>
  <c r="AL25" i="203"/>
  <c r="AN25" i="203"/>
  <c r="AO25" i="203" s="1"/>
  <c r="AM26" i="195"/>
  <c r="AL26" i="195"/>
  <c r="AN26" i="195"/>
  <c r="AO26" i="195" s="1"/>
  <c r="AO20" i="185"/>
  <c r="AO10" i="185"/>
  <c r="AO17" i="185"/>
  <c r="AO22" i="185"/>
  <c r="AO21" i="185"/>
  <c r="AN26" i="185"/>
  <c r="AL26" i="185"/>
  <c r="AM26" i="185"/>
  <c r="AO26" i="185" l="1"/>
  <c r="AK28" i="182"/>
  <c r="AJ28" i="182"/>
  <c r="AI28" i="182"/>
  <c r="AH28" i="182"/>
  <c r="AG28" i="182"/>
  <c r="AF28" i="182"/>
  <c r="AE28" i="182"/>
  <c r="AD28" i="182"/>
  <c r="AC28" i="182"/>
  <c r="AB28" i="182"/>
  <c r="AA28" i="182"/>
  <c r="Z28" i="182"/>
  <c r="Y28" i="182"/>
  <c r="X28" i="182"/>
  <c r="W28" i="182"/>
  <c r="V28" i="182"/>
  <c r="U28" i="182"/>
  <c r="T28" i="182"/>
  <c r="S28" i="182"/>
  <c r="R28" i="182"/>
  <c r="Q28" i="182"/>
  <c r="P28" i="182"/>
  <c r="O28" i="182"/>
  <c r="N28" i="182"/>
  <c r="M28" i="182"/>
  <c r="L28" i="182"/>
  <c r="K28" i="182"/>
  <c r="J28" i="182"/>
  <c r="I28" i="182"/>
  <c r="H28" i="182"/>
  <c r="G28" i="182"/>
  <c r="AK27" i="182"/>
  <c r="AJ27" i="182"/>
  <c r="AI27" i="182"/>
  <c r="AH27" i="182"/>
  <c r="AG27" i="182"/>
  <c r="AF27" i="182"/>
  <c r="AE27" i="182"/>
  <c r="AD27" i="182"/>
  <c r="AC27" i="182"/>
  <c r="AB27" i="182"/>
  <c r="AA27" i="182"/>
  <c r="Z27" i="182"/>
  <c r="Y27" i="182"/>
  <c r="X27" i="182"/>
  <c r="W27" i="182"/>
  <c r="V27" i="182"/>
  <c r="U27" i="182"/>
  <c r="T27" i="182"/>
  <c r="S27" i="182"/>
  <c r="R27" i="182"/>
  <c r="Q27" i="182"/>
  <c r="P27" i="182"/>
  <c r="O27" i="182"/>
  <c r="N27" i="182"/>
  <c r="M27" i="182"/>
  <c r="L27" i="182"/>
  <c r="K27" i="182"/>
  <c r="J27" i="182"/>
  <c r="I27" i="182"/>
  <c r="H27" i="182"/>
  <c r="G27" i="182"/>
  <c r="AK26" i="182"/>
  <c r="AJ26" i="182"/>
  <c r="AI26" i="182"/>
  <c r="AH26" i="182"/>
  <c r="AG26" i="182"/>
  <c r="AF26" i="182"/>
  <c r="AE26" i="182"/>
  <c r="AD26" i="182"/>
  <c r="AC26" i="182"/>
  <c r="AB26" i="182"/>
  <c r="AA26" i="182"/>
  <c r="Z26" i="182"/>
  <c r="Y26" i="182"/>
  <c r="X26" i="182"/>
  <c r="W26" i="182"/>
  <c r="V26" i="182"/>
  <c r="U26" i="182"/>
  <c r="T26" i="182"/>
  <c r="S26" i="182"/>
  <c r="R26" i="182"/>
  <c r="Q26" i="182"/>
  <c r="P26" i="182"/>
  <c r="O26" i="182"/>
  <c r="N26" i="182"/>
  <c r="M26" i="182"/>
  <c r="L26" i="182"/>
  <c r="K26" i="182"/>
  <c r="J26" i="182"/>
  <c r="I26" i="182"/>
  <c r="H26" i="182"/>
  <c r="G26" i="182"/>
  <c r="AN25" i="182"/>
  <c r="AM25" i="182"/>
  <c r="AL25" i="182"/>
  <c r="AN24" i="182"/>
  <c r="AM24" i="182"/>
  <c r="AL24" i="182"/>
  <c r="AN23" i="182"/>
  <c r="AM23" i="182"/>
  <c r="AL23" i="182"/>
  <c r="AN22" i="182"/>
  <c r="AM22" i="182"/>
  <c r="AL22" i="182"/>
  <c r="AN21" i="182"/>
  <c r="AM21" i="182"/>
  <c r="AL21" i="182"/>
  <c r="AN20" i="182"/>
  <c r="AM20" i="182"/>
  <c r="AL20" i="182"/>
  <c r="AN19" i="182"/>
  <c r="AM19" i="182"/>
  <c r="AL19" i="182"/>
  <c r="AN18" i="182"/>
  <c r="AM18" i="182"/>
  <c r="AL18" i="182"/>
  <c r="AN17" i="182"/>
  <c r="AM17" i="182"/>
  <c r="AL17" i="182"/>
  <c r="AN16" i="182"/>
  <c r="AM16" i="182"/>
  <c r="AL16" i="182"/>
  <c r="AN15" i="182"/>
  <c r="AM15" i="182"/>
  <c r="AL15" i="182"/>
  <c r="AN14" i="182"/>
  <c r="AM14" i="182"/>
  <c r="AL14" i="182"/>
  <c r="AN13" i="182"/>
  <c r="AM13" i="182"/>
  <c r="AL13" i="182"/>
  <c r="AN12" i="182"/>
  <c r="AM12" i="182"/>
  <c r="AL12" i="182"/>
  <c r="AN11" i="182"/>
  <c r="AM11" i="182"/>
  <c r="AL11" i="182"/>
  <c r="AN10" i="182"/>
  <c r="AM10" i="182"/>
  <c r="AL10" i="182"/>
  <c r="AN9" i="182"/>
  <c r="AM9" i="182"/>
  <c r="AL9" i="182"/>
  <c r="AN8" i="182"/>
  <c r="AM8" i="182"/>
  <c r="AL8" i="182"/>
  <c r="AM7" i="182"/>
  <c r="AL7" i="182"/>
  <c r="AN6" i="182"/>
  <c r="AM6" i="182"/>
  <c r="AL6" i="182"/>
  <c r="AO7" i="182" l="1"/>
  <c r="AO6" i="182"/>
  <c r="AO10" i="182"/>
  <c r="AO14" i="182"/>
  <c r="AO18" i="182"/>
  <c r="AO24" i="182"/>
  <c r="AO13" i="182"/>
  <c r="AO17" i="182"/>
  <c r="AO23" i="182"/>
  <c r="AO25" i="182"/>
  <c r="AO8" i="182"/>
  <c r="AO12" i="182"/>
  <c r="AO16" i="182"/>
  <c r="AO20" i="182"/>
  <c r="AO22" i="182"/>
  <c r="AO11" i="182"/>
  <c r="AO15" i="182"/>
  <c r="AO19" i="182"/>
  <c r="AO21" i="182"/>
  <c r="AM26" i="182"/>
  <c r="AN26" i="182"/>
  <c r="AL26" i="182"/>
  <c r="AO26" i="182" l="1"/>
  <c r="N26" i="181"/>
  <c r="AD26" i="181"/>
  <c r="I26" i="181"/>
  <c r="J26" i="181"/>
  <c r="AN24" i="181"/>
  <c r="AN12" i="181"/>
  <c r="AK28" i="181"/>
  <c r="AJ28" i="181"/>
  <c r="AI28" i="181"/>
  <c r="AH28" i="181"/>
  <c r="AG28" i="181"/>
  <c r="AF28" i="181"/>
  <c r="AE28" i="181"/>
  <c r="AD28" i="181"/>
  <c r="AC28" i="181"/>
  <c r="AB28" i="181"/>
  <c r="AA28" i="181"/>
  <c r="Z28" i="181"/>
  <c r="Y28" i="181"/>
  <c r="X28" i="181"/>
  <c r="W28" i="181"/>
  <c r="V28" i="181"/>
  <c r="U28" i="181"/>
  <c r="T28" i="181"/>
  <c r="S28" i="181"/>
  <c r="R28" i="181"/>
  <c r="Q28" i="181"/>
  <c r="P28" i="181"/>
  <c r="O28" i="181"/>
  <c r="N28" i="181"/>
  <c r="M28" i="181"/>
  <c r="L28" i="181"/>
  <c r="K28" i="181"/>
  <c r="J28" i="181"/>
  <c r="I28" i="181"/>
  <c r="H28" i="181"/>
  <c r="G28" i="181"/>
  <c r="AK27" i="181"/>
  <c r="AJ27" i="181"/>
  <c r="AI27" i="181"/>
  <c r="AH27" i="181"/>
  <c r="AG27" i="181"/>
  <c r="AF27" i="181"/>
  <c r="AE27" i="181"/>
  <c r="AD27" i="181"/>
  <c r="AC27" i="181"/>
  <c r="AB27" i="181"/>
  <c r="AA27" i="181"/>
  <c r="Z27" i="181"/>
  <c r="Y27" i="181"/>
  <c r="X27" i="181"/>
  <c r="W27" i="181"/>
  <c r="V27" i="181"/>
  <c r="U27" i="181"/>
  <c r="T27" i="181"/>
  <c r="S27" i="181"/>
  <c r="R27" i="181"/>
  <c r="Q27" i="181"/>
  <c r="P27" i="181"/>
  <c r="O27" i="181"/>
  <c r="N27" i="181"/>
  <c r="M27" i="181"/>
  <c r="L27" i="181"/>
  <c r="K27" i="181"/>
  <c r="J27" i="181"/>
  <c r="I27" i="181"/>
  <c r="H27" i="181"/>
  <c r="G27" i="181"/>
  <c r="AK26" i="181"/>
  <c r="AJ26" i="181"/>
  <c r="AI26" i="181"/>
  <c r="AH26" i="181"/>
  <c r="AG26" i="181"/>
  <c r="AF26" i="181"/>
  <c r="AE26" i="181"/>
  <c r="AC26" i="181"/>
  <c r="AB26" i="181"/>
  <c r="AA26" i="181"/>
  <c r="Z26" i="181"/>
  <c r="Y26" i="181"/>
  <c r="X26" i="181"/>
  <c r="W26" i="181"/>
  <c r="V26" i="181"/>
  <c r="U26" i="181"/>
  <c r="T26" i="181"/>
  <c r="S26" i="181"/>
  <c r="R26" i="181"/>
  <c r="Q26" i="181"/>
  <c r="P26" i="181"/>
  <c r="O26" i="181"/>
  <c r="M26" i="181"/>
  <c r="L26" i="181"/>
  <c r="K26" i="181"/>
  <c r="H26" i="181"/>
  <c r="G26" i="181"/>
  <c r="AN25" i="181"/>
  <c r="AM25" i="181"/>
  <c r="AL25" i="181"/>
  <c r="AM24" i="181"/>
  <c r="AL24" i="181"/>
  <c r="AN23" i="181"/>
  <c r="AM23" i="181"/>
  <c r="AL23" i="181"/>
  <c r="AN22" i="181"/>
  <c r="AM22" i="181"/>
  <c r="AL22" i="181"/>
  <c r="AN21" i="181"/>
  <c r="AM21" i="181"/>
  <c r="AL21" i="181"/>
  <c r="AN20" i="181"/>
  <c r="AM20" i="181"/>
  <c r="AL20" i="181"/>
  <c r="AN19" i="181"/>
  <c r="AM19" i="181"/>
  <c r="AL19" i="181"/>
  <c r="AN18" i="181"/>
  <c r="AM18" i="181"/>
  <c r="AL18" i="181"/>
  <c r="AN17" i="181"/>
  <c r="AM17" i="181"/>
  <c r="AL17" i="181"/>
  <c r="AN16" i="181"/>
  <c r="AM16" i="181"/>
  <c r="AL16" i="181"/>
  <c r="AN15" i="181"/>
  <c r="AM15" i="181"/>
  <c r="AL15" i="181"/>
  <c r="AN14" i="181"/>
  <c r="AM14" i="181"/>
  <c r="AL14" i="181"/>
  <c r="AN13" i="181"/>
  <c r="AM13" i="181"/>
  <c r="AL13" i="181"/>
  <c r="AM12" i="181"/>
  <c r="AL12" i="181"/>
  <c r="AN11" i="181"/>
  <c r="AM11" i="181"/>
  <c r="AL11" i="181"/>
  <c r="AN10" i="181"/>
  <c r="AM10" i="181"/>
  <c r="AL10" i="181"/>
  <c r="AN9" i="181"/>
  <c r="AM9" i="181"/>
  <c r="AL9" i="181"/>
  <c r="AN8" i="181"/>
  <c r="AM8" i="181"/>
  <c r="AL8" i="181"/>
  <c r="AM7" i="181"/>
  <c r="AL7" i="181"/>
  <c r="AM6" i="181"/>
  <c r="AL6" i="181"/>
  <c r="AO23" i="181" l="1"/>
  <c r="AO25" i="181"/>
  <c r="AO11" i="181"/>
  <c r="AO16" i="181"/>
  <c r="AO20" i="181"/>
  <c r="AM26" i="181"/>
  <c r="AO13" i="181"/>
  <c r="AO17" i="181"/>
  <c r="AO21" i="181"/>
  <c r="AO8" i="181"/>
  <c r="AO10" i="181"/>
  <c r="AO7" i="181"/>
  <c r="AO6" i="181"/>
  <c r="AO15" i="181"/>
  <c r="AO19" i="181"/>
  <c r="AO14" i="181"/>
  <c r="AO18" i="181"/>
  <c r="AO22" i="181"/>
  <c r="AO12" i="181"/>
  <c r="AL26" i="181"/>
  <c r="AO24" i="181"/>
  <c r="AN26" i="181"/>
  <c r="AN9" i="179"/>
  <c r="AN10" i="179"/>
  <c r="AO26" i="181" l="1"/>
  <c r="H27" i="178"/>
  <c r="AH28" i="179" l="1"/>
  <c r="AN7" i="179" l="1"/>
  <c r="AN8" i="179"/>
  <c r="AN15" i="179"/>
  <c r="AN16" i="179"/>
  <c r="AN17" i="179"/>
  <c r="AN18" i="179"/>
  <c r="AN19" i="179"/>
  <c r="AN20" i="179"/>
  <c r="AN21" i="179"/>
  <c r="AN22" i="179"/>
  <c r="AN23" i="179"/>
  <c r="AN11" i="179"/>
  <c r="AN13" i="179"/>
  <c r="AK28" i="179"/>
  <c r="AJ28" i="179"/>
  <c r="AI28" i="179"/>
  <c r="AG28" i="179"/>
  <c r="AF28" i="179"/>
  <c r="AE28" i="179"/>
  <c r="AD28" i="179"/>
  <c r="AC28" i="179"/>
  <c r="AB28" i="179"/>
  <c r="AA28" i="179"/>
  <c r="Z28" i="179"/>
  <c r="Y28" i="179"/>
  <c r="X28" i="179"/>
  <c r="W28" i="179"/>
  <c r="V28" i="179"/>
  <c r="U28" i="179"/>
  <c r="T28" i="179"/>
  <c r="S28" i="179"/>
  <c r="R28" i="179"/>
  <c r="Q28" i="179"/>
  <c r="P28" i="179"/>
  <c r="O28" i="179"/>
  <c r="N28" i="179"/>
  <c r="M28" i="179"/>
  <c r="L28" i="179"/>
  <c r="K28" i="179"/>
  <c r="J28" i="179"/>
  <c r="I28" i="179"/>
  <c r="H28" i="179"/>
  <c r="G28" i="179"/>
  <c r="AK27" i="179"/>
  <c r="AJ27" i="179"/>
  <c r="AI27" i="179"/>
  <c r="AH27" i="179"/>
  <c r="AG27" i="179"/>
  <c r="AF27" i="179"/>
  <c r="AE27" i="179"/>
  <c r="AD27" i="179"/>
  <c r="AC27" i="179"/>
  <c r="AB27" i="179"/>
  <c r="AA27" i="179"/>
  <c r="Z27" i="179"/>
  <c r="Y27" i="179"/>
  <c r="X27" i="179"/>
  <c r="W27" i="179"/>
  <c r="V27" i="179"/>
  <c r="U27" i="179"/>
  <c r="T27" i="179"/>
  <c r="S27" i="179"/>
  <c r="R27" i="179"/>
  <c r="Q27" i="179"/>
  <c r="P27" i="179"/>
  <c r="O27" i="179"/>
  <c r="N27" i="179"/>
  <c r="M27" i="179"/>
  <c r="L27" i="179"/>
  <c r="K27" i="179"/>
  <c r="J27" i="179"/>
  <c r="I27" i="179"/>
  <c r="H27" i="179"/>
  <c r="G27" i="179"/>
  <c r="AK26" i="179"/>
  <c r="AJ26" i="179"/>
  <c r="AI26" i="179"/>
  <c r="AH26" i="179"/>
  <c r="AG26" i="179"/>
  <c r="AF26" i="179"/>
  <c r="AE26" i="179"/>
  <c r="AC26" i="179"/>
  <c r="AB26" i="179"/>
  <c r="AA26" i="179"/>
  <c r="Z26" i="179"/>
  <c r="Y26" i="179"/>
  <c r="X26" i="179"/>
  <c r="W26" i="179"/>
  <c r="V26" i="179"/>
  <c r="U26" i="179"/>
  <c r="T26" i="179"/>
  <c r="S26" i="179"/>
  <c r="R26" i="179"/>
  <c r="Q26" i="179"/>
  <c r="P26" i="179"/>
  <c r="O26" i="179"/>
  <c r="N26" i="179"/>
  <c r="M26" i="179"/>
  <c r="L26" i="179"/>
  <c r="K26" i="179"/>
  <c r="H26" i="179"/>
  <c r="G26" i="179"/>
  <c r="AN25" i="179"/>
  <c r="AM25" i="179"/>
  <c r="AL25" i="179"/>
  <c r="AM24" i="179"/>
  <c r="AL24" i="179"/>
  <c r="AM23" i="179"/>
  <c r="AL23" i="179"/>
  <c r="AM22" i="179"/>
  <c r="AL22" i="179"/>
  <c r="AM21" i="179"/>
  <c r="AL21" i="179"/>
  <c r="AM20" i="179"/>
  <c r="AL20" i="179"/>
  <c r="AM19" i="179"/>
  <c r="AL19" i="179"/>
  <c r="AM18" i="179"/>
  <c r="AL18" i="179"/>
  <c r="AM17" i="179"/>
  <c r="AL17" i="179"/>
  <c r="AM16" i="179"/>
  <c r="AL16" i="179"/>
  <c r="AM15" i="179"/>
  <c r="AL15" i="179"/>
  <c r="AN14" i="179"/>
  <c r="AM14" i="179"/>
  <c r="AL14" i="179"/>
  <c r="AM13" i="179"/>
  <c r="AL13" i="179"/>
  <c r="AM12" i="179"/>
  <c r="AL12" i="179"/>
  <c r="AM11" i="179"/>
  <c r="AL11" i="179"/>
  <c r="AM10" i="179"/>
  <c r="AL10" i="179"/>
  <c r="AM9" i="179"/>
  <c r="AL9" i="179"/>
  <c r="AM8" i="179"/>
  <c r="AL8" i="179"/>
  <c r="AM7" i="179"/>
  <c r="AL7" i="179"/>
  <c r="AN6" i="179"/>
  <c r="AM6" i="179"/>
  <c r="AL6" i="179"/>
  <c r="AO17" i="179" l="1"/>
  <c r="AO24" i="179"/>
  <c r="AO20" i="179"/>
  <c r="AO10" i="179"/>
  <c r="AO21" i="179"/>
  <c r="AO7" i="179"/>
  <c r="AO16" i="179"/>
  <c r="AO8" i="179"/>
  <c r="AO25" i="179"/>
  <c r="AO23" i="179"/>
  <c r="AO11" i="179"/>
  <c r="AO15" i="179"/>
  <c r="AO6" i="179"/>
  <c r="AO12" i="179"/>
  <c r="AO14" i="179"/>
  <c r="AO19" i="179"/>
  <c r="AO22" i="179"/>
  <c r="AO18" i="179"/>
  <c r="AO13" i="179"/>
  <c r="AL26" i="179"/>
  <c r="AN26" i="179"/>
  <c r="AM26" i="179"/>
  <c r="I26" i="178"/>
  <c r="J26" i="178"/>
  <c r="K26" i="178"/>
  <c r="L26" i="178"/>
  <c r="M26" i="178"/>
  <c r="N26" i="178"/>
  <c r="O26" i="178"/>
  <c r="P26" i="178"/>
  <c r="Q26" i="178"/>
  <c r="R26" i="178"/>
  <c r="S26" i="178"/>
  <c r="T26" i="178"/>
  <c r="U26" i="178"/>
  <c r="V26" i="178"/>
  <c r="W26" i="178"/>
  <c r="X26" i="178"/>
  <c r="Y26" i="178"/>
  <c r="Z26" i="178"/>
  <c r="AA26" i="178"/>
  <c r="AB26" i="178"/>
  <c r="AC26" i="178"/>
  <c r="AD26" i="178"/>
  <c r="AE26" i="178"/>
  <c r="AF26" i="178"/>
  <c r="AG26" i="178"/>
  <c r="AH26" i="178"/>
  <c r="H26" i="178"/>
  <c r="AO26" i="179" l="1"/>
  <c r="AK28" i="178"/>
  <c r="AJ28" i="178"/>
  <c r="AI28" i="178"/>
  <c r="AG28" i="178"/>
  <c r="AF28" i="178"/>
  <c r="AE28" i="178"/>
  <c r="AD28" i="178"/>
  <c r="AC28" i="178"/>
  <c r="AB28" i="178"/>
  <c r="AA28" i="178"/>
  <c r="Z28" i="178"/>
  <c r="Y28" i="178"/>
  <c r="X28" i="178"/>
  <c r="W28" i="178"/>
  <c r="V28" i="178"/>
  <c r="U28" i="178"/>
  <c r="T28" i="178"/>
  <c r="S28" i="178"/>
  <c r="R28" i="178"/>
  <c r="Q28" i="178"/>
  <c r="P28" i="178"/>
  <c r="O28" i="178"/>
  <c r="N28" i="178"/>
  <c r="M28" i="178"/>
  <c r="L28" i="178"/>
  <c r="K28" i="178"/>
  <c r="J28" i="178"/>
  <c r="I28" i="178"/>
  <c r="H28" i="178"/>
  <c r="G28" i="178"/>
  <c r="AK27" i="178"/>
  <c r="AJ27" i="178"/>
  <c r="AI27" i="178"/>
  <c r="AH27" i="178"/>
  <c r="AG27" i="178"/>
  <c r="AF27" i="178"/>
  <c r="AE27" i="178"/>
  <c r="AD27" i="178"/>
  <c r="AC27" i="178"/>
  <c r="AB27" i="178"/>
  <c r="AA27" i="178"/>
  <c r="Z27" i="178"/>
  <c r="Y27" i="178"/>
  <c r="X27" i="178"/>
  <c r="W27" i="178"/>
  <c r="V27" i="178"/>
  <c r="U27" i="178"/>
  <c r="T27" i="178"/>
  <c r="S27" i="178"/>
  <c r="R27" i="178"/>
  <c r="Q27" i="178"/>
  <c r="P27" i="178"/>
  <c r="O27" i="178"/>
  <c r="N27" i="178"/>
  <c r="M27" i="178"/>
  <c r="L27" i="178"/>
  <c r="K27" i="178"/>
  <c r="J27" i="178"/>
  <c r="I27" i="178"/>
  <c r="G27" i="178"/>
  <c r="AK26" i="178"/>
  <c r="AJ26" i="178"/>
  <c r="AI26" i="178"/>
  <c r="G26" i="178"/>
  <c r="AN25" i="178"/>
  <c r="AM25" i="178"/>
  <c r="AL25" i="178"/>
  <c r="AN24" i="178"/>
  <c r="AM24" i="178"/>
  <c r="AL24" i="178"/>
  <c r="AM23" i="178"/>
  <c r="AL23" i="178"/>
  <c r="AN22" i="178"/>
  <c r="AM22" i="178"/>
  <c r="AL22" i="178"/>
  <c r="AN21" i="178"/>
  <c r="AM21" i="178"/>
  <c r="AL21" i="178"/>
  <c r="AN20" i="178"/>
  <c r="AM20" i="178"/>
  <c r="AL20" i="178"/>
  <c r="AN19" i="178"/>
  <c r="AM19" i="178"/>
  <c r="AL19" i="178"/>
  <c r="AN18" i="178"/>
  <c r="AM18" i="178"/>
  <c r="AL18" i="178"/>
  <c r="AN17" i="178"/>
  <c r="AM17" i="178"/>
  <c r="AL17" i="178"/>
  <c r="AN16" i="178"/>
  <c r="AM16" i="178"/>
  <c r="AL16" i="178"/>
  <c r="AN15" i="178"/>
  <c r="AM15" i="178"/>
  <c r="AL15" i="178"/>
  <c r="AN14" i="178"/>
  <c r="AM14" i="178"/>
  <c r="AL14" i="178"/>
  <c r="AN13" i="178"/>
  <c r="AM13" i="178"/>
  <c r="AL13" i="178"/>
  <c r="AN12" i="178"/>
  <c r="AM12" i="178"/>
  <c r="AL12" i="178"/>
  <c r="AN11" i="178"/>
  <c r="AM11" i="178"/>
  <c r="AL11" i="178"/>
  <c r="AN10" i="178"/>
  <c r="AM10" i="178"/>
  <c r="AL10" i="178"/>
  <c r="AN9" i="178"/>
  <c r="AM9" i="178"/>
  <c r="AL9" i="178"/>
  <c r="AN8" i="178"/>
  <c r="AM8" i="178"/>
  <c r="AL8" i="178"/>
  <c r="AM7" i="178"/>
  <c r="AL7" i="178"/>
  <c r="AN6" i="178"/>
  <c r="AM6" i="178"/>
  <c r="AL6" i="178"/>
  <c r="AO6" i="178" l="1"/>
  <c r="AO8" i="178"/>
  <c r="AO7" i="178"/>
  <c r="AM26" i="178"/>
  <c r="AO25" i="178"/>
  <c r="AO12" i="178"/>
  <c r="AO16" i="178"/>
  <c r="AO20" i="178"/>
  <c r="AO24" i="178"/>
  <c r="AO11" i="178"/>
  <c r="AO15" i="178"/>
  <c r="AO19" i="178"/>
  <c r="AO23" i="178"/>
  <c r="AO22" i="178"/>
  <c r="AO10" i="178"/>
  <c r="AO14" i="178"/>
  <c r="AO18" i="178"/>
  <c r="AO13" i="178"/>
  <c r="AO17" i="178"/>
  <c r="AO21" i="178"/>
  <c r="AN26" i="178"/>
  <c r="AL26" i="178"/>
  <c r="AM7" i="177"/>
  <c r="AM8" i="177"/>
  <c r="AM9" i="177"/>
  <c r="AM10" i="177"/>
  <c r="AM11" i="177"/>
  <c r="AM12" i="177"/>
  <c r="AM13" i="177"/>
  <c r="AM14" i="177"/>
  <c r="AM15" i="177"/>
  <c r="AM16" i="177"/>
  <c r="AM17" i="177"/>
  <c r="AM18" i="177"/>
  <c r="AM19" i="177"/>
  <c r="AM20" i="177"/>
  <c r="AM21" i="177"/>
  <c r="AM22" i="177"/>
  <c r="AM23" i="177"/>
  <c r="AM24" i="177"/>
  <c r="AM25" i="177"/>
  <c r="AL7" i="177"/>
  <c r="AL8" i="177"/>
  <c r="AL9" i="177"/>
  <c r="AL10" i="177"/>
  <c r="AL11" i="177"/>
  <c r="AL12" i="177"/>
  <c r="AL13" i="177"/>
  <c r="AL14" i="177"/>
  <c r="AL15" i="177"/>
  <c r="AO15" i="177" s="1"/>
  <c r="AL16" i="177"/>
  <c r="AL17" i="177"/>
  <c r="AL18" i="177"/>
  <c r="AL19" i="177"/>
  <c r="AL20" i="177"/>
  <c r="AL21" i="177"/>
  <c r="AL22" i="177"/>
  <c r="AL23" i="177"/>
  <c r="AL24" i="177"/>
  <c r="AL25" i="177"/>
  <c r="AN7" i="177"/>
  <c r="AN8" i="177"/>
  <c r="AN9" i="177"/>
  <c r="AN10" i="177"/>
  <c r="AN11" i="177"/>
  <c r="AN12" i="177"/>
  <c r="AN13" i="177"/>
  <c r="AN14" i="177"/>
  <c r="AN16" i="177"/>
  <c r="AN17" i="177"/>
  <c r="AN18" i="177"/>
  <c r="AN19" i="177"/>
  <c r="AN20" i="177"/>
  <c r="AN21" i="177"/>
  <c r="AN22" i="177"/>
  <c r="AN23" i="177"/>
  <c r="AN24" i="177"/>
  <c r="AN25" i="177"/>
  <c r="AK28" i="177"/>
  <c r="AJ28" i="177"/>
  <c r="AI28" i="177"/>
  <c r="AH28" i="177"/>
  <c r="AG28" i="177"/>
  <c r="AF28" i="177"/>
  <c r="AE28" i="177"/>
  <c r="AD28" i="177"/>
  <c r="AC28" i="177"/>
  <c r="AB28" i="177"/>
  <c r="AA28" i="177"/>
  <c r="Z28" i="177"/>
  <c r="Y28" i="177"/>
  <c r="X28" i="177"/>
  <c r="W28" i="177"/>
  <c r="V28" i="177"/>
  <c r="U28" i="177"/>
  <c r="T28" i="177"/>
  <c r="S28" i="177"/>
  <c r="R28" i="177"/>
  <c r="Q28" i="177"/>
  <c r="P28" i="177"/>
  <c r="O28" i="177"/>
  <c r="N28" i="177"/>
  <c r="M28" i="177"/>
  <c r="L28" i="177"/>
  <c r="K28" i="177"/>
  <c r="J28" i="177"/>
  <c r="I28" i="177"/>
  <c r="H28" i="177"/>
  <c r="G28" i="177"/>
  <c r="AK27" i="177"/>
  <c r="AJ27" i="177"/>
  <c r="AI27" i="177"/>
  <c r="AH27" i="177"/>
  <c r="AG27" i="177"/>
  <c r="AF27" i="177"/>
  <c r="AE27" i="177"/>
  <c r="AD27" i="177"/>
  <c r="AC27" i="177"/>
  <c r="AB27" i="177"/>
  <c r="AA27" i="177"/>
  <c r="Z27" i="177"/>
  <c r="Y27" i="177"/>
  <c r="X27" i="177"/>
  <c r="W27" i="177"/>
  <c r="V27" i="177"/>
  <c r="U27" i="177"/>
  <c r="T27" i="177"/>
  <c r="S27" i="177"/>
  <c r="R27" i="177"/>
  <c r="Q27" i="177"/>
  <c r="P27" i="177"/>
  <c r="O27" i="177"/>
  <c r="N27" i="177"/>
  <c r="M27" i="177"/>
  <c r="L27" i="177"/>
  <c r="K27" i="177"/>
  <c r="J27" i="177"/>
  <c r="I27" i="177"/>
  <c r="H27" i="177"/>
  <c r="G27" i="177"/>
  <c r="AK26" i="177"/>
  <c r="AJ26" i="177"/>
  <c r="AI26" i="177"/>
  <c r="AH26" i="177"/>
  <c r="AG26" i="177"/>
  <c r="AF26" i="177"/>
  <c r="AE26" i="177"/>
  <c r="AD26" i="177"/>
  <c r="AC26" i="177"/>
  <c r="AB26" i="177"/>
  <c r="AA26" i="177"/>
  <c r="Z26" i="177"/>
  <c r="Y26" i="177"/>
  <c r="X26" i="177"/>
  <c r="W26" i="177"/>
  <c r="V26" i="177"/>
  <c r="U26" i="177"/>
  <c r="T26" i="177"/>
  <c r="S26" i="177"/>
  <c r="R26" i="177"/>
  <c r="Q26" i="177"/>
  <c r="P26" i="177"/>
  <c r="O26" i="177"/>
  <c r="N26" i="177"/>
  <c r="M26" i="177"/>
  <c r="L26" i="177"/>
  <c r="K26" i="177"/>
  <c r="J26" i="177"/>
  <c r="I26" i="177"/>
  <c r="H26" i="177"/>
  <c r="G26" i="177"/>
  <c r="AN6" i="177"/>
  <c r="AM6" i="177"/>
  <c r="AL6" i="177"/>
  <c r="AO7" i="177" l="1"/>
  <c r="AO26" i="178"/>
  <c r="AO25" i="177"/>
  <c r="AO19" i="177"/>
  <c r="AO17" i="177"/>
  <c r="AO24" i="177"/>
  <c r="AO20" i="177"/>
  <c r="AO16" i="177"/>
  <c r="AO21" i="177"/>
  <c r="AO11" i="177"/>
  <c r="AO8" i="177"/>
  <c r="AO12" i="177"/>
  <c r="AO23" i="177"/>
  <c r="AO6" i="177"/>
  <c r="AO22" i="177"/>
  <c r="AO18" i="177"/>
  <c r="AO10" i="177"/>
  <c r="AO14" i="177"/>
  <c r="AO13" i="177"/>
  <c r="AM26" i="177"/>
  <c r="AN26" i="177"/>
  <c r="AL26" i="177"/>
  <c r="AN20" i="176"/>
  <c r="AN18" i="176"/>
  <c r="AO26" i="177" l="1"/>
  <c r="AK28" i="176"/>
  <c r="AJ28" i="176"/>
  <c r="AI28" i="176"/>
  <c r="AH28" i="176"/>
  <c r="AG28" i="176"/>
  <c r="AF28" i="176"/>
  <c r="AE28" i="176"/>
  <c r="AD28" i="176"/>
  <c r="AC28" i="176"/>
  <c r="AB28" i="176"/>
  <c r="AA28" i="176"/>
  <c r="Z28" i="176"/>
  <c r="Y28" i="176"/>
  <c r="X28" i="176"/>
  <c r="W28" i="176"/>
  <c r="V28" i="176"/>
  <c r="U28" i="176"/>
  <c r="T28" i="176"/>
  <c r="S28" i="176"/>
  <c r="R28" i="176"/>
  <c r="Q28" i="176"/>
  <c r="P28" i="176"/>
  <c r="O28" i="176"/>
  <c r="N28" i="176"/>
  <c r="M28" i="176"/>
  <c r="L28" i="176"/>
  <c r="K28" i="176"/>
  <c r="J28" i="176"/>
  <c r="I28" i="176"/>
  <c r="H28" i="176"/>
  <c r="G28" i="176"/>
  <c r="AK27" i="176"/>
  <c r="AJ27" i="176"/>
  <c r="AI27" i="176"/>
  <c r="AH27" i="176"/>
  <c r="AG27" i="176"/>
  <c r="AF27" i="176"/>
  <c r="AE27" i="176"/>
  <c r="AD27" i="176"/>
  <c r="AC27" i="176"/>
  <c r="AB27" i="176"/>
  <c r="AA27" i="176"/>
  <c r="Z27" i="176"/>
  <c r="Y27" i="176"/>
  <c r="X27" i="176"/>
  <c r="W27" i="176"/>
  <c r="V27" i="176"/>
  <c r="U27" i="176"/>
  <c r="T27" i="176"/>
  <c r="S27" i="176"/>
  <c r="R27" i="176"/>
  <c r="Q27" i="176"/>
  <c r="P27" i="176"/>
  <c r="O27" i="176"/>
  <c r="N27" i="176"/>
  <c r="M27" i="176"/>
  <c r="L27" i="176"/>
  <c r="K27" i="176"/>
  <c r="J27" i="176"/>
  <c r="I27" i="176"/>
  <c r="H27" i="176"/>
  <c r="G27" i="176"/>
  <c r="AK26" i="176"/>
  <c r="AJ26" i="176"/>
  <c r="AI26" i="176"/>
  <c r="AH26" i="176"/>
  <c r="AG26" i="176"/>
  <c r="AF26" i="176"/>
  <c r="AE26" i="176"/>
  <c r="AD26" i="176"/>
  <c r="AC26" i="176"/>
  <c r="AB26" i="176"/>
  <c r="AA26" i="176"/>
  <c r="Z26" i="176"/>
  <c r="Y26" i="176"/>
  <c r="X26" i="176"/>
  <c r="W26" i="176"/>
  <c r="V26" i="176"/>
  <c r="U26" i="176"/>
  <c r="T26" i="176"/>
  <c r="S26" i="176"/>
  <c r="R26" i="176"/>
  <c r="Q26" i="176"/>
  <c r="P26" i="176"/>
  <c r="O26" i="176"/>
  <c r="N26" i="176"/>
  <c r="M26" i="176"/>
  <c r="L26" i="176"/>
  <c r="K26" i="176"/>
  <c r="J26" i="176"/>
  <c r="I26" i="176"/>
  <c r="H26" i="176"/>
  <c r="G26" i="176"/>
  <c r="AN25" i="176"/>
  <c r="AM25" i="176"/>
  <c r="AL25" i="176"/>
  <c r="AN24" i="176"/>
  <c r="AM24" i="176"/>
  <c r="AL24" i="176"/>
  <c r="AN23" i="176"/>
  <c r="AM23" i="176"/>
  <c r="AL23" i="176"/>
  <c r="AN22" i="176"/>
  <c r="AM22" i="176"/>
  <c r="AL22" i="176"/>
  <c r="AN21" i="176"/>
  <c r="AM21" i="176"/>
  <c r="AL21" i="176"/>
  <c r="AM20" i="176"/>
  <c r="AL20" i="176"/>
  <c r="AO20" i="176" s="1"/>
  <c r="AN19" i="176"/>
  <c r="AM19" i="176"/>
  <c r="AL19" i="176"/>
  <c r="AM18" i="176"/>
  <c r="AL18" i="176"/>
  <c r="AO18" i="176" s="1"/>
  <c r="AM17" i="176"/>
  <c r="AL17" i="176"/>
  <c r="AN16" i="176"/>
  <c r="AM16" i="176"/>
  <c r="AL16" i="176"/>
  <c r="AM15" i="176"/>
  <c r="AL15" i="176"/>
  <c r="AN14" i="176"/>
  <c r="AM14" i="176"/>
  <c r="AL14" i="176"/>
  <c r="AN13" i="176"/>
  <c r="AM13" i="176"/>
  <c r="AL13" i="176"/>
  <c r="AN12" i="176"/>
  <c r="AM12" i="176"/>
  <c r="AL12" i="176"/>
  <c r="AN11" i="176"/>
  <c r="AM11" i="176"/>
  <c r="AL11" i="176"/>
  <c r="AN10" i="176"/>
  <c r="AM10" i="176"/>
  <c r="AL10" i="176"/>
  <c r="AM8" i="176"/>
  <c r="AL8" i="176"/>
  <c r="AM7" i="176"/>
  <c r="AL7" i="176"/>
  <c r="AN6" i="176"/>
  <c r="AM6" i="176"/>
  <c r="AL6" i="176"/>
  <c r="AO17" i="176" l="1"/>
  <c r="AO13" i="176"/>
  <c r="AO23" i="176"/>
  <c r="AO8" i="176"/>
  <c r="AO7" i="176"/>
  <c r="AO12" i="176"/>
  <c r="AO16" i="176"/>
  <c r="AO22" i="176"/>
  <c r="AO6" i="176"/>
  <c r="AO11" i="176"/>
  <c r="AO15" i="176"/>
  <c r="AO21" i="176"/>
  <c r="AO25" i="176"/>
  <c r="AO10" i="176"/>
  <c r="AO14" i="176"/>
  <c r="AO19" i="176"/>
  <c r="AO24" i="176"/>
  <c r="AM26" i="176"/>
  <c r="AN26" i="176"/>
  <c r="AL26" i="176"/>
  <c r="AK28" i="175"/>
  <c r="AJ28" i="175"/>
  <c r="AI28" i="175"/>
  <c r="AH28" i="175"/>
  <c r="AG28" i="175"/>
  <c r="AF28" i="175"/>
  <c r="AE28" i="175"/>
  <c r="AD28" i="175"/>
  <c r="AC28" i="175"/>
  <c r="AB28" i="175"/>
  <c r="AA28" i="175"/>
  <c r="Z28" i="175"/>
  <c r="Y28" i="175"/>
  <c r="X28" i="175"/>
  <c r="W28" i="175"/>
  <c r="V28" i="175"/>
  <c r="U28" i="175"/>
  <c r="T28" i="175"/>
  <c r="S28" i="175"/>
  <c r="R28" i="175"/>
  <c r="Q28" i="175"/>
  <c r="P28" i="175"/>
  <c r="O28" i="175"/>
  <c r="N28" i="175"/>
  <c r="M28" i="175"/>
  <c r="L28" i="175"/>
  <c r="K28" i="175"/>
  <c r="J28" i="175"/>
  <c r="I28" i="175"/>
  <c r="H28" i="175"/>
  <c r="G28" i="175"/>
  <c r="AK27" i="175"/>
  <c r="AJ27" i="175"/>
  <c r="AI27" i="175"/>
  <c r="AH27" i="175"/>
  <c r="AG27" i="175"/>
  <c r="AF27" i="175"/>
  <c r="AE27" i="175"/>
  <c r="AD27" i="175"/>
  <c r="AC27" i="175"/>
  <c r="AB27" i="175"/>
  <c r="AA27" i="175"/>
  <c r="Z27" i="175"/>
  <c r="Y27" i="175"/>
  <c r="X27" i="175"/>
  <c r="W27" i="175"/>
  <c r="V27" i="175"/>
  <c r="U27" i="175"/>
  <c r="T27" i="175"/>
  <c r="S27" i="175"/>
  <c r="R27" i="175"/>
  <c r="Q27" i="175"/>
  <c r="P27" i="175"/>
  <c r="O27" i="175"/>
  <c r="N27" i="175"/>
  <c r="M27" i="175"/>
  <c r="L27" i="175"/>
  <c r="K27" i="175"/>
  <c r="J27" i="175"/>
  <c r="I27" i="175"/>
  <c r="H27" i="175"/>
  <c r="G27" i="175"/>
  <c r="AK26" i="175"/>
  <c r="AJ26" i="175"/>
  <c r="AI26" i="175"/>
  <c r="AH26" i="175"/>
  <c r="AG26" i="175"/>
  <c r="AF26" i="175"/>
  <c r="AE26" i="175"/>
  <c r="AD26" i="175"/>
  <c r="AC26" i="175"/>
  <c r="AB26" i="175"/>
  <c r="AA26" i="175"/>
  <c r="Z26" i="175"/>
  <c r="Y26" i="175"/>
  <c r="X26" i="175"/>
  <c r="W26" i="175"/>
  <c r="V26" i="175"/>
  <c r="U26" i="175"/>
  <c r="T26" i="175"/>
  <c r="S26" i="175"/>
  <c r="R26" i="175"/>
  <c r="Q26" i="175"/>
  <c r="P26" i="175"/>
  <c r="O26" i="175"/>
  <c r="N26" i="175"/>
  <c r="M26" i="175"/>
  <c r="L26" i="175"/>
  <c r="K26" i="175"/>
  <c r="J26" i="175"/>
  <c r="I26" i="175"/>
  <c r="H26" i="175"/>
  <c r="G26" i="175"/>
  <c r="AN25" i="175"/>
  <c r="AM25" i="175"/>
  <c r="AL25" i="175"/>
  <c r="AN24" i="175"/>
  <c r="AM24" i="175"/>
  <c r="AL24" i="175"/>
  <c r="AN23" i="175"/>
  <c r="AM23" i="175"/>
  <c r="AL23" i="175"/>
  <c r="AN22" i="175"/>
  <c r="AM22" i="175"/>
  <c r="AL22" i="175"/>
  <c r="AN21" i="175"/>
  <c r="AM21" i="175"/>
  <c r="AL21" i="175"/>
  <c r="AM20" i="175"/>
  <c r="AL20" i="175"/>
  <c r="AN19" i="175"/>
  <c r="AM19" i="175"/>
  <c r="AL19" i="175"/>
  <c r="AM18" i="175"/>
  <c r="AL18" i="175"/>
  <c r="AN17" i="175"/>
  <c r="AM17" i="175"/>
  <c r="AL17" i="175"/>
  <c r="AN16" i="175"/>
  <c r="AM16" i="175"/>
  <c r="AL16" i="175"/>
  <c r="AN15" i="175"/>
  <c r="AM15" i="175"/>
  <c r="AL15" i="175"/>
  <c r="AN14" i="175"/>
  <c r="AM14" i="175"/>
  <c r="AL14" i="175"/>
  <c r="AN13" i="175"/>
  <c r="AM13" i="175"/>
  <c r="AL13" i="175"/>
  <c r="AN12" i="175"/>
  <c r="AM12" i="175"/>
  <c r="AL12" i="175"/>
  <c r="AN11" i="175"/>
  <c r="AM11" i="175"/>
  <c r="AL11" i="175"/>
  <c r="AN10" i="175"/>
  <c r="AM10" i="175"/>
  <c r="AL10" i="175"/>
  <c r="AN8" i="175"/>
  <c r="AM8" i="175"/>
  <c r="AL8" i="175"/>
  <c r="AN7" i="175"/>
  <c r="AM7" i="175"/>
  <c r="AL7" i="175"/>
  <c r="AN6" i="175"/>
  <c r="AM6" i="175"/>
  <c r="AL6" i="175"/>
  <c r="AO26" i="176" l="1"/>
  <c r="AO11" i="175"/>
  <c r="AO6" i="175"/>
  <c r="AO15" i="175"/>
  <c r="AO24" i="175"/>
  <c r="AO7" i="175"/>
  <c r="AO12" i="175"/>
  <c r="AO20" i="175"/>
  <c r="AO19" i="175"/>
  <c r="AO23" i="175"/>
  <c r="AO16" i="175"/>
  <c r="AO10" i="175"/>
  <c r="AO14" i="175"/>
  <c r="AO18" i="175"/>
  <c r="AO22" i="175"/>
  <c r="AO8" i="175"/>
  <c r="AO13" i="175"/>
  <c r="AO17" i="175"/>
  <c r="AO21" i="175"/>
  <c r="AO25" i="175"/>
  <c r="AM26" i="175"/>
  <c r="AN26" i="175"/>
  <c r="AL26" i="175"/>
  <c r="AN14" i="174"/>
  <c r="AO26" i="175" l="1"/>
  <c r="AL10" i="174"/>
  <c r="AM10" i="174"/>
  <c r="AN10" i="174"/>
  <c r="AO10" i="174" l="1"/>
  <c r="AN18" i="172"/>
  <c r="AN19" i="174"/>
  <c r="AK28" i="174"/>
  <c r="AJ28" i="174"/>
  <c r="AI28" i="174"/>
  <c r="AH28" i="174"/>
  <c r="AG28" i="174"/>
  <c r="AF28" i="174"/>
  <c r="AE28" i="174"/>
  <c r="AD28" i="174"/>
  <c r="AC28" i="174"/>
  <c r="AB28" i="174"/>
  <c r="AA28" i="174"/>
  <c r="Z28" i="174"/>
  <c r="Y28" i="174"/>
  <c r="X28" i="174"/>
  <c r="W28" i="174"/>
  <c r="V28" i="174"/>
  <c r="U28" i="174"/>
  <c r="T28" i="174"/>
  <c r="S28" i="174"/>
  <c r="R28" i="174"/>
  <c r="Q28" i="174"/>
  <c r="P28" i="174"/>
  <c r="O28" i="174"/>
  <c r="N28" i="174"/>
  <c r="M28" i="174"/>
  <c r="L28" i="174"/>
  <c r="K28" i="174"/>
  <c r="J28" i="174"/>
  <c r="I28" i="174"/>
  <c r="H28" i="174"/>
  <c r="G28" i="174"/>
  <c r="AK27" i="174"/>
  <c r="AJ27" i="174"/>
  <c r="AI27" i="174"/>
  <c r="AH27" i="174"/>
  <c r="AG27" i="174"/>
  <c r="AF27" i="174"/>
  <c r="AE27" i="174"/>
  <c r="AD27" i="174"/>
  <c r="AC27" i="174"/>
  <c r="AB27" i="174"/>
  <c r="AA27" i="174"/>
  <c r="Z27" i="174"/>
  <c r="Y27" i="174"/>
  <c r="X27" i="174"/>
  <c r="W27" i="174"/>
  <c r="V27" i="174"/>
  <c r="U27" i="174"/>
  <c r="T27" i="174"/>
  <c r="S27" i="174"/>
  <c r="R27" i="174"/>
  <c r="Q27" i="174"/>
  <c r="P27" i="174"/>
  <c r="O27" i="174"/>
  <c r="N27" i="174"/>
  <c r="M27" i="174"/>
  <c r="L27" i="174"/>
  <c r="K27" i="174"/>
  <c r="J27" i="174"/>
  <c r="I27" i="174"/>
  <c r="H27" i="174"/>
  <c r="G27" i="174"/>
  <c r="AK26" i="174"/>
  <c r="AJ26" i="174"/>
  <c r="AI26" i="174"/>
  <c r="AH26" i="174"/>
  <c r="AG26" i="174"/>
  <c r="AF26" i="174"/>
  <c r="AE26" i="174"/>
  <c r="AD26" i="174"/>
  <c r="AC26" i="174"/>
  <c r="AB26" i="174"/>
  <c r="AA26" i="174"/>
  <c r="Z26" i="174"/>
  <c r="Y26" i="174"/>
  <c r="X26" i="174"/>
  <c r="W26" i="174"/>
  <c r="V26" i="174"/>
  <c r="U26" i="174"/>
  <c r="T26" i="174"/>
  <c r="S26" i="174"/>
  <c r="R26" i="174"/>
  <c r="Q26" i="174"/>
  <c r="P26" i="174"/>
  <c r="O26" i="174"/>
  <c r="N26" i="174"/>
  <c r="M26" i="174"/>
  <c r="L26" i="174"/>
  <c r="K26" i="174"/>
  <c r="J26" i="174"/>
  <c r="I26" i="174"/>
  <c r="H26" i="174"/>
  <c r="G26" i="174"/>
  <c r="AN25" i="174"/>
  <c r="AM25" i="174"/>
  <c r="AL25" i="174"/>
  <c r="AN24" i="174"/>
  <c r="AM24" i="174"/>
  <c r="AL24" i="174"/>
  <c r="AN23" i="174"/>
  <c r="AM23" i="174"/>
  <c r="AL23" i="174"/>
  <c r="AN22" i="174"/>
  <c r="AM22" i="174"/>
  <c r="AL22" i="174"/>
  <c r="AN21" i="174"/>
  <c r="AM21" i="174"/>
  <c r="AL21" i="174"/>
  <c r="AN20" i="174"/>
  <c r="AM20" i="174"/>
  <c r="AL20" i="174"/>
  <c r="AM19" i="174"/>
  <c r="AL19" i="174"/>
  <c r="AN18" i="174"/>
  <c r="AM18" i="174"/>
  <c r="AL18" i="174"/>
  <c r="AN17" i="174"/>
  <c r="AM17" i="174"/>
  <c r="AL17" i="174"/>
  <c r="AN16" i="174"/>
  <c r="AM16" i="174"/>
  <c r="AL16" i="174"/>
  <c r="AN15" i="174"/>
  <c r="AM15" i="174"/>
  <c r="AL15" i="174"/>
  <c r="AM14" i="174"/>
  <c r="AL14" i="174"/>
  <c r="AN13" i="174"/>
  <c r="AM13" i="174"/>
  <c r="AL13" i="174"/>
  <c r="AN12" i="174"/>
  <c r="AM12" i="174"/>
  <c r="AL12" i="174"/>
  <c r="AN11" i="174"/>
  <c r="AM11" i="174"/>
  <c r="AL11" i="174"/>
  <c r="AN8" i="174"/>
  <c r="AM8" i="174"/>
  <c r="AL8" i="174"/>
  <c r="AN7" i="174"/>
  <c r="AM7" i="174"/>
  <c r="AL7" i="174"/>
  <c r="AN6" i="174"/>
  <c r="AM6" i="174"/>
  <c r="AL6" i="174"/>
  <c r="AK27" i="172"/>
  <c r="AJ27" i="172"/>
  <c r="AI27" i="172"/>
  <c r="AH27" i="172"/>
  <c r="AG27" i="172"/>
  <c r="AF27" i="172"/>
  <c r="AE27" i="172"/>
  <c r="AD27" i="172"/>
  <c r="AC27" i="172"/>
  <c r="AB27" i="172"/>
  <c r="AA27" i="172"/>
  <c r="Z27" i="172"/>
  <c r="Y27" i="172"/>
  <c r="X27" i="172"/>
  <c r="W27" i="172"/>
  <c r="V27" i="172"/>
  <c r="U27" i="172"/>
  <c r="T27" i="172"/>
  <c r="S27" i="172"/>
  <c r="R27" i="172"/>
  <c r="Q27" i="172"/>
  <c r="P27" i="172"/>
  <c r="O27" i="172"/>
  <c r="N27" i="172"/>
  <c r="M27" i="172"/>
  <c r="L27" i="172"/>
  <c r="K27" i="172"/>
  <c r="J27" i="172"/>
  <c r="I27" i="172"/>
  <c r="H27" i="172"/>
  <c r="G27" i="172"/>
  <c r="AK26" i="172"/>
  <c r="AJ26" i="172"/>
  <c r="AI26" i="172"/>
  <c r="AH26" i="172"/>
  <c r="AG26" i="172"/>
  <c r="AF26" i="172"/>
  <c r="AE26" i="172"/>
  <c r="AD26" i="172"/>
  <c r="AC26" i="172"/>
  <c r="AB26" i="172"/>
  <c r="AA26" i="172"/>
  <c r="Z26" i="172"/>
  <c r="Y26" i="172"/>
  <c r="X26" i="172"/>
  <c r="W26" i="172"/>
  <c r="V26" i="172"/>
  <c r="U26" i="172"/>
  <c r="T26" i="172"/>
  <c r="S26" i="172"/>
  <c r="R26" i="172"/>
  <c r="Q26" i="172"/>
  <c r="P26" i="172"/>
  <c r="O26" i="172"/>
  <c r="N26" i="172"/>
  <c r="M26" i="172"/>
  <c r="L26" i="172"/>
  <c r="K26" i="172"/>
  <c r="J26" i="172"/>
  <c r="I26" i="172"/>
  <c r="H26" i="172"/>
  <c r="G26" i="172"/>
  <c r="AK25" i="172"/>
  <c r="AJ25" i="172"/>
  <c r="AI25" i="172"/>
  <c r="AH25" i="172"/>
  <c r="AG25" i="172"/>
  <c r="AF25" i="172"/>
  <c r="AE25" i="172"/>
  <c r="AD25" i="172"/>
  <c r="AC25" i="172"/>
  <c r="AB25" i="172"/>
  <c r="AA25" i="172"/>
  <c r="Z25" i="172"/>
  <c r="Y25" i="172"/>
  <c r="X25" i="172"/>
  <c r="W25" i="172"/>
  <c r="V25" i="172"/>
  <c r="U25" i="172"/>
  <c r="T25" i="172"/>
  <c r="S25" i="172"/>
  <c r="R25" i="172"/>
  <c r="Q25" i="172"/>
  <c r="P25" i="172"/>
  <c r="O25" i="172"/>
  <c r="N25" i="172"/>
  <c r="M25" i="172"/>
  <c r="L25" i="172"/>
  <c r="K25" i="172"/>
  <c r="J25" i="172"/>
  <c r="I25" i="172"/>
  <c r="H25" i="172"/>
  <c r="G25" i="172"/>
  <c r="AN24" i="172"/>
  <c r="AM24" i="172"/>
  <c r="AL24" i="172"/>
  <c r="AN23" i="172"/>
  <c r="AM23" i="172"/>
  <c r="AL23" i="172"/>
  <c r="AN22" i="172"/>
  <c r="AM22" i="172"/>
  <c r="AL22" i="172"/>
  <c r="AN21" i="172"/>
  <c r="AM21" i="172"/>
  <c r="AL21" i="172"/>
  <c r="AN20" i="172"/>
  <c r="AM20" i="172"/>
  <c r="AL20" i="172"/>
  <c r="AN19" i="172"/>
  <c r="AM19" i="172"/>
  <c r="AL19" i="172"/>
  <c r="AM18" i="172"/>
  <c r="AL18" i="172"/>
  <c r="AN17" i="172"/>
  <c r="AM17" i="172"/>
  <c r="AL17" i="172"/>
  <c r="AN16" i="172"/>
  <c r="AM16" i="172"/>
  <c r="AL16" i="172"/>
  <c r="AN15" i="172"/>
  <c r="AM15" i="172"/>
  <c r="AL15" i="172"/>
  <c r="AN14" i="172"/>
  <c r="AM14" i="172"/>
  <c r="AL14" i="172"/>
  <c r="AN13" i="172"/>
  <c r="AM13" i="172"/>
  <c r="AL13" i="172"/>
  <c r="AN12" i="172"/>
  <c r="AM12" i="172"/>
  <c r="AL12" i="172"/>
  <c r="AN11" i="172"/>
  <c r="AM11" i="172"/>
  <c r="AL11" i="172"/>
  <c r="AN10" i="172"/>
  <c r="AM10" i="172"/>
  <c r="AL10" i="172"/>
  <c r="AN9" i="172"/>
  <c r="AM9" i="172"/>
  <c r="AL9" i="172"/>
  <c r="AN8" i="172"/>
  <c r="AM8" i="172"/>
  <c r="AL8" i="172"/>
  <c r="AN7" i="172"/>
  <c r="AM7" i="172"/>
  <c r="AL7" i="172"/>
  <c r="AN6" i="172"/>
  <c r="AM6" i="172"/>
  <c r="AL6" i="172"/>
  <c r="AO12" i="172" l="1"/>
  <c r="AO8" i="172"/>
  <c r="AO20" i="174"/>
  <c r="AO15" i="174"/>
  <c r="AO6" i="174"/>
  <c r="AO11" i="174"/>
  <c r="AO24" i="174"/>
  <c r="AO23" i="174"/>
  <c r="AO22" i="174"/>
  <c r="AO21" i="174"/>
  <c r="AO16" i="174"/>
  <c r="AO12" i="174"/>
  <c r="AO7" i="174"/>
  <c r="AO25" i="174"/>
  <c r="AO14" i="174"/>
  <c r="AO18" i="174"/>
  <c r="AO8" i="174"/>
  <c r="AO13" i="174"/>
  <c r="AO17" i="174"/>
  <c r="AL26" i="174"/>
  <c r="AO19" i="174"/>
  <c r="AO7" i="172"/>
  <c r="AO17" i="172"/>
  <c r="AO22" i="172"/>
  <c r="AO15" i="172"/>
  <c r="AO11" i="172"/>
  <c r="AO18" i="172"/>
  <c r="AM26" i="174"/>
  <c r="AN26" i="174"/>
  <c r="AO19" i="172"/>
  <c r="AO6" i="172"/>
  <c r="AO10" i="172"/>
  <c r="AO14" i="172"/>
  <c r="AO16" i="172"/>
  <c r="AO9" i="172"/>
  <c r="AO13" i="172"/>
  <c r="AO23" i="172"/>
  <c r="AO21" i="172"/>
  <c r="AO20" i="172"/>
  <c r="AO24" i="172"/>
  <c r="AM25" i="172"/>
  <c r="AN25" i="172"/>
  <c r="AL25" i="172"/>
  <c r="AO26" i="174" l="1"/>
  <c r="AO25" i="172"/>
  <c r="AD25" i="169"/>
  <c r="AE25" i="169"/>
  <c r="AN13" i="169" l="1"/>
  <c r="AN14" i="169"/>
  <c r="AK27" i="169"/>
  <c r="AJ27" i="169"/>
  <c r="AI27" i="169"/>
  <c r="AH27" i="169"/>
  <c r="AG27" i="169"/>
  <c r="AF27" i="169"/>
  <c r="AE27" i="169"/>
  <c r="AD27" i="169"/>
  <c r="AC27" i="169"/>
  <c r="AB27" i="169"/>
  <c r="AA27" i="169"/>
  <c r="Z27" i="169"/>
  <c r="Y27" i="169"/>
  <c r="X27" i="169"/>
  <c r="W27" i="169"/>
  <c r="V27" i="169"/>
  <c r="U27" i="169"/>
  <c r="T27" i="169"/>
  <c r="S27" i="169"/>
  <c r="R27" i="169"/>
  <c r="Q27" i="169"/>
  <c r="P27" i="169"/>
  <c r="O27" i="169"/>
  <c r="N27" i="169"/>
  <c r="M27" i="169"/>
  <c r="L27" i="169"/>
  <c r="K27" i="169"/>
  <c r="J27" i="169"/>
  <c r="I27" i="169"/>
  <c r="H27" i="169"/>
  <c r="G27" i="169"/>
  <c r="AK26" i="169"/>
  <c r="AJ26" i="169"/>
  <c r="AI26" i="169"/>
  <c r="AH26" i="169"/>
  <c r="AG26" i="169"/>
  <c r="AF26" i="169"/>
  <c r="AE26" i="169"/>
  <c r="AD26" i="169"/>
  <c r="AC26" i="169"/>
  <c r="AB26" i="169"/>
  <c r="AA26" i="169"/>
  <c r="Z26" i="169"/>
  <c r="Y26" i="169"/>
  <c r="X26" i="169"/>
  <c r="W26" i="169"/>
  <c r="V26" i="169"/>
  <c r="U26" i="169"/>
  <c r="T26" i="169"/>
  <c r="S26" i="169"/>
  <c r="R26" i="169"/>
  <c r="Q26" i="169"/>
  <c r="P26" i="169"/>
  <c r="O26" i="169"/>
  <c r="N26" i="169"/>
  <c r="M26" i="169"/>
  <c r="L26" i="169"/>
  <c r="K26" i="169"/>
  <c r="J26" i="169"/>
  <c r="I26" i="169"/>
  <c r="H26" i="169"/>
  <c r="G26" i="169"/>
  <c r="AK25" i="169"/>
  <c r="AJ25" i="169"/>
  <c r="AI25" i="169"/>
  <c r="AH25" i="169"/>
  <c r="AG25" i="169"/>
  <c r="AF25" i="169"/>
  <c r="AC25" i="169"/>
  <c r="AB25" i="169"/>
  <c r="AA25" i="169"/>
  <c r="Z25" i="169"/>
  <c r="Y25" i="169"/>
  <c r="X25" i="169"/>
  <c r="W25" i="169"/>
  <c r="V25" i="169"/>
  <c r="U25" i="169"/>
  <c r="T25" i="169"/>
  <c r="S25" i="169"/>
  <c r="R25" i="169"/>
  <c r="Q25" i="169"/>
  <c r="P25" i="169"/>
  <c r="O25" i="169"/>
  <c r="N25" i="169"/>
  <c r="M25" i="169"/>
  <c r="L25" i="169"/>
  <c r="K25" i="169"/>
  <c r="J25" i="169"/>
  <c r="I25" i="169"/>
  <c r="H25" i="169"/>
  <c r="G25" i="169"/>
  <c r="AN24" i="169"/>
  <c r="AM24" i="169"/>
  <c r="AL24" i="169"/>
  <c r="AN23" i="169"/>
  <c r="AM23" i="169"/>
  <c r="AL23" i="169"/>
  <c r="AN22" i="169"/>
  <c r="AM22" i="169"/>
  <c r="AL22" i="169"/>
  <c r="AN21" i="169"/>
  <c r="AM21" i="169"/>
  <c r="AL21" i="169"/>
  <c r="AN20" i="169"/>
  <c r="AM20" i="169"/>
  <c r="AL20" i="169"/>
  <c r="AN19" i="169"/>
  <c r="AM19" i="169"/>
  <c r="AL19" i="169"/>
  <c r="AM18" i="169"/>
  <c r="AL18" i="169"/>
  <c r="AN17" i="169"/>
  <c r="AM17" i="169"/>
  <c r="AL17" i="169"/>
  <c r="AN16" i="169"/>
  <c r="AM16" i="169"/>
  <c r="AL16" i="169"/>
  <c r="AN15" i="169"/>
  <c r="AM15" i="169"/>
  <c r="AL15" i="169"/>
  <c r="AM14" i="169"/>
  <c r="AL14" i="169"/>
  <c r="AM13" i="169"/>
  <c r="AL13" i="169"/>
  <c r="AO13" i="169" s="1"/>
  <c r="AN12" i="169"/>
  <c r="AM12" i="169"/>
  <c r="AL12" i="169"/>
  <c r="AN11" i="169"/>
  <c r="AM11" i="169"/>
  <c r="AL11" i="169"/>
  <c r="AN10" i="169"/>
  <c r="AM10" i="169"/>
  <c r="AL10" i="169"/>
  <c r="AN9" i="169"/>
  <c r="AM9" i="169"/>
  <c r="AL9" i="169"/>
  <c r="AN8" i="169"/>
  <c r="AM8" i="169"/>
  <c r="AL8" i="169"/>
  <c r="AN7" i="169"/>
  <c r="AM7" i="169"/>
  <c r="AL7" i="169"/>
  <c r="AN6" i="169"/>
  <c r="AM6" i="169"/>
  <c r="AL6" i="169"/>
  <c r="AO14" i="169" l="1"/>
  <c r="AO8" i="169"/>
  <c r="AO12" i="169"/>
  <c r="AO18" i="169"/>
  <c r="AO23" i="169"/>
  <c r="AO21" i="169"/>
  <c r="AO17" i="169"/>
  <c r="AO16" i="169"/>
  <c r="AO20" i="169"/>
  <c r="AO24" i="169"/>
  <c r="AO9" i="169"/>
  <c r="AO15" i="169"/>
  <c r="AO19" i="169"/>
  <c r="AO22" i="169"/>
  <c r="AO7" i="169"/>
  <c r="AO11" i="169"/>
  <c r="AO6" i="169"/>
  <c r="AO10" i="169"/>
  <c r="AL25" i="169"/>
  <c r="AN25" i="169"/>
  <c r="AM25" i="169"/>
  <c r="AO25" i="169" l="1"/>
</calcChain>
</file>

<file path=xl/sharedStrings.xml><?xml version="1.0" encoding="utf-8"?>
<sst xmlns="http://schemas.openxmlformats.org/spreadsheetml/2006/main" count="9906" uniqueCount="643">
  <si>
    <t>▲</t>
    <phoneticPr fontId="2" type="noConversion"/>
  </si>
  <si>
    <t>●</t>
    <phoneticPr fontId="2" type="noConversion"/>
  </si>
  <si>
    <t>D</t>
    <phoneticPr fontId="2" type="noConversion"/>
  </si>
  <si>
    <t>근무</t>
    <phoneticPr fontId="2" type="noConversion"/>
  </si>
  <si>
    <t>휴무</t>
    <phoneticPr fontId="2" type="noConversion"/>
  </si>
  <si>
    <t>연차</t>
    <phoneticPr fontId="2" type="noConversion"/>
  </si>
  <si>
    <t>날짜</t>
    <phoneticPr fontId="2" type="noConversion"/>
  </si>
  <si>
    <t>이름</t>
    <phoneticPr fontId="2" type="noConversion"/>
  </si>
  <si>
    <t>직위</t>
    <phoneticPr fontId="2" type="noConversion"/>
  </si>
  <si>
    <t>수</t>
  </si>
  <si>
    <t>목</t>
  </si>
  <si>
    <t>금</t>
  </si>
  <si>
    <t>토</t>
  </si>
  <si>
    <t>일</t>
  </si>
  <si>
    <t>월</t>
  </si>
  <si>
    <t>화</t>
  </si>
  <si>
    <t>합</t>
    <phoneticPr fontId="2" type="noConversion"/>
  </si>
  <si>
    <t>교육</t>
  </si>
  <si>
    <t>경조사</t>
    <phoneticPr fontId="2" type="noConversion"/>
  </si>
  <si>
    <t>교육</t>
    <phoneticPr fontId="2" type="noConversion"/>
  </si>
  <si>
    <t>경조</t>
    <phoneticPr fontId="2" type="noConversion"/>
  </si>
  <si>
    <t>●</t>
  </si>
  <si>
    <t>장미란</t>
  </si>
  <si>
    <t>시설장</t>
  </si>
  <si>
    <t>사회복지사</t>
  </si>
  <si>
    <t>신은희</t>
    <phoneticPr fontId="2" type="noConversion"/>
  </si>
  <si>
    <t>김중순</t>
    <phoneticPr fontId="2" type="noConversion"/>
  </si>
  <si>
    <t>`</t>
    <phoneticPr fontId="2" type="noConversion"/>
  </si>
  <si>
    <t>간호조무사</t>
    <phoneticPr fontId="2" type="noConversion"/>
  </si>
  <si>
    <t>김윤자</t>
    <phoneticPr fontId="2" type="noConversion"/>
  </si>
  <si>
    <t>요양팀장</t>
    <phoneticPr fontId="2" type="noConversion"/>
  </si>
  <si>
    <t>요양보호사</t>
    <phoneticPr fontId="2" type="noConversion"/>
  </si>
  <si>
    <t>사회복지사</t>
    <phoneticPr fontId="2" type="noConversion"/>
  </si>
  <si>
    <t>김수영</t>
    <phoneticPr fontId="2" type="noConversion"/>
  </si>
  <si>
    <t>대표</t>
    <phoneticPr fontId="2" type="noConversion"/>
  </si>
  <si>
    <t>누계</t>
    <phoneticPr fontId="2" type="noConversion"/>
  </si>
  <si>
    <t>이기찬</t>
    <phoneticPr fontId="2" type="noConversion"/>
  </si>
  <si>
    <t>사무원</t>
    <phoneticPr fontId="2" type="noConversion"/>
  </si>
  <si>
    <t>정국현</t>
    <phoneticPr fontId="2" type="noConversion"/>
  </si>
  <si>
    <t>오주환</t>
    <phoneticPr fontId="2" type="noConversion"/>
  </si>
  <si>
    <t>▲</t>
  </si>
  <si>
    <t xml:space="preserve"> </t>
    <phoneticPr fontId="2" type="noConversion"/>
  </si>
  <si>
    <t>▲</t>
    <phoneticPr fontId="2" type="noConversion"/>
  </si>
  <si>
    <t>●</t>
    <phoneticPr fontId="2" type="noConversion"/>
  </si>
  <si>
    <t xml:space="preserve"> </t>
    <phoneticPr fontId="2" type="noConversion"/>
  </si>
  <si>
    <t>박정희</t>
    <phoneticPr fontId="2" type="noConversion"/>
  </si>
  <si>
    <t>강선진</t>
    <phoneticPr fontId="2" type="noConversion"/>
  </si>
  <si>
    <t>●</t>
    <phoneticPr fontId="2" type="noConversion"/>
  </si>
  <si>
    <t>김용숙</t>
    <phoneticPr fontId="2" type="noConversion"/>
  </si>
  <si>
    <t>김영숙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</si>
  <si>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</si>
  <si>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</si>
  <si>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</si>
  <si>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</si>
  <si>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</si>
  <si>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</si>
  <si>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</si>
  <si>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</si>
  <si>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</si>
  <si>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</si>
  <si>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</si>
  <si>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</si>
  <si>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</si>
  <si>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목</t>
    <phoneticPr fontId="2" type="noConversion"/>
  </si>
  <si>
    <t>D</t>
    <phoneticPr fontId="2" type="noConversion"/>
  </si>
  <si>
    <t>1.5</t>
    <phoneticPr fontId="2" type="noConversion"/>
  </si>
  <si>
    <t>3.5</t>
    <phoneticPr fontId="2" type="noConversion"/>
  </si>
  <si>
    <t>토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</si>
  <si>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</si>
  <si>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일</t>
    <phoneticPr fontId="2" type="noConversion"/>
  </si>
  <si>
    <t>월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</si>
  <si>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</si>
  <si>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</si>
  <si>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</si>
  <si>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</si>
  <si>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15.5</t>
    <phoneticPr fontId="2" type="noConversion"/>
  </si>
  <si>
    <t>화</t>
    <phoneticPr fontId="2" type="noConversion"/>
  </si>
  <si>
    <t>16.5</t>
    <phoneticPr fontId="2" type="noConversion"/>
  </si>
  <si>
    <t>D</t>
    <phoneticPr fontId="2" type="noConversion"/>
  </si>
  <si>
    <t>●</t>
    <phoneticPr fontId="2" type="noConversion"/>
  </si>
  <si>
    <t>.</t>
    <phoneticPr fontId="2" type="noConversion"/>
  </si>
  <si>
    <t>D</t>
    <phoneticPr fontId="2" type="noConversion"/>
  </si>
  <si>
    <t>0.5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</si>
  <si>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</si>
  <si>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2.5</t>
    <phoneticPr fontId="2" type="noConversion"/>
  </si>
  <si>
    <t>금</t>
    <phoneticPr fontId="2" type="noConversion"/>
  </si>
  <si>
    <t>D</t>
  </si>
  <si>
    <t>▲</t>
    <phoneticPr fontId="2" type="noConversion"/>
  </si>
  <si>
    <t>월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</si>
  <si>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</si>
  <si>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</si>
  <si>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</si>
  <si>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</si>
  <si>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주방담당반</t>
    <phoneticPr fontId="2" type="noConversion"/>
  </si>
  <si>
    <t>조리원</t>
    <phoneticPr fontId="2" type="noConversion"/>
  </si>
  <si>
    <t>정문조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</si>
  <si>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</si>
  <si>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</si>
  <si>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</si>
  <si>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</si>
  <si>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</si>
  <si>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</si>
  <si>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</si>
  <si>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</si>
  <si>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</si>
  <si>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</si>
  <si>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</si>
  <si>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</si>
  <si>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</si>
  <si>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</si>
  <si>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</si>
  <si>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</si>
  <si>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</si>
  <si>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14.5</t>
    <phoneticPr fontId="2" type="noConversion"/>
  </si>
  <si>
    <t>김경애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</si>
  <si>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</si>
  <si>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</si>
  <si>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</si>
  <si>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</si>
  <si>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</si>
  <si>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</si>
  <si>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</si>
  <si>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</si>
  <si>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</si>
  <si>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</si>
  <si>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</si>
  <si>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</si>
  <si>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</si>
  <si>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</si>
  <si>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</si>
  <si>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</si>
  <si>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</si>
  <si>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</si>
  <si>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</si>
  <si>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</si>
  <si>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</si>
  <si>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</si>
  <si>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</si>
  <si>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</si>
  <si>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</si>
  <si>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</si>
  <si>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</si>
  <si>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</si>
  <si>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</si>
  <si>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</si>
  <si>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소-믿-사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</si>
  <si>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</si>
  <si>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</si>
  <si>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</si>
  <si>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</si>
  <si>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</si>
  <si>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</si>
  <si>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</si>
  <si>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</si>
  <si>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</si>
  <si>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</si>
  <si>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</si>
  <si>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</si>
  <si>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</si>
  <si>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</si>
  <si>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</si>
  <si>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</si>
  <si>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</si>
  <si>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</si>
  <si>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</si>
  <si>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원</t>
    <phoneticPr fontId="2" type="noConversion"/>
  </si>
  <si>
    <t>●</t>
    <phoneticPr fontId="2" type="noConversion"/>
  </si>
  <si>
    <t>김은비</t>
    <phoneticPr fontId="2" type="noConversion"/>
  </si>
  <si>
    <t>은비</t>
    <phoneticPr fontId="2" type="noConversion"/>
  </si>
  <si>
    <t>수영</t>
    <phoneticPr fontId="2" type="noConversion"/>
  </si>
  <si>
    <t>선진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</si>
  <si>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</si>
  <si>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</si>
  <si>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</si>
  <si>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D(08:00~17:00)</t>
    <phoneticPr fontId="2" type="noConversion"/>
  </si>
  <si>
    <t>원하는 휴무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</si>
  <si>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</si>
  <si>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오후반차
12:30~17:00</t>
    <phoneticPr fontId="2" type="noConversion"/>
  </si>
  <si>
    <t>오후연차반차
12:30~17:00</t>
    <phoneticPr fontId="2" type="noConversion"/>
  </si>
  <si>
    <t>오전반차
08:00~12:30</t>
    <phoneticPr fontId="2" type="noConversion"/>
  </si>
  <si>
    <t>오전연차반차
08:00~12:30</t>
    <phoneticPr fontId="2" type="noConversion"/>
  </si>
  <si>
    <t>D</t>
    <phoneticPr fontId="2" type="noConversion"/>
  </si>
  <si>
    <t>D</t>
    <phoneticPr fontId="2" type="noConversion"/>
  </si>
  <si>
    <t>/9</t>
    <phoneticPr fontId="2" type="noConversion"/>
  </si>
  <si>
    <t>6/15.5</t>
    <phoneticPr fontId="2" type="noConversion"/>
  </si>
  <si>
    <t>3/6.5</t>
    <phoneticPr fontId="2" type="noConversion"/>
  </si>
  <si>
    <t>●</t>
    <phoneticPr fontId="2" type="noConversion"/>
  </si>
  <si>
    <t>연차2개</t>
    <phoneticPr fontId="2" type="noConversion"/>
  </si>
  <si>
    <t>9/1 휴무원함</t>
    <phoneticPr fontId="2" type="noConversion"/>
  </si>
  <si>
    <t>2025년 9월 근무편성표</t>
    <phoneticPr fontId="2" type="noConversion"/>
  </si>
  <si>
    <t>월</t>
    <phoneticPr fontId="2" type="noConversion"/>
  </si>
  <si>
    <t>최재영</t>
    <phoneticPr fontId="2" type="noConversion"/>
  </si>
  <si>
    <t>임경호</t>
    <phoneticPr fontId="2" type="noConversion"/>
  </si>
  <si>
    <t>오주환</t>
    <phoneticPr fontId="2" type="noConversion"/>
  </si>
  <si>
    <t>김중순</t>
    <phoneticPr fontId="2" type="noConversion"/>
  </si>
  <si>
    <t>정국현</t>
    <phoneticPr fontId="2" type="noConversion"/>
  </si>
  <si>
    <t>요양보호사</t>
    <phoneticPr fontId="2" type="noConversion"/>
  </si>
  <si>
    <t>김계순</t>
    <phoneticPr fontId="2" type="noConversion"/>
  </si>
  <si>
    <t>D</t>
    <phoneticPr fontId="2" type="noConversion"/>
  </si>
  <si>
    <t>●</t>
    <phoneticPr fontId="2" type="noConversion"/>
  </si>
  <si>
    <t>강현애</t>
    <phoneticPr fontId="2" type="noConversion"/>
  </si>
  <si>
    <t>박정희</t>
    <phoneticPr fontId="2" type="noConversion"/>
  </si>
  <si>
    <t>김용숙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</si>
  <si>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</si>
  <si>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</si>
  <si>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</si>
  <si>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</si>
  <si>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</si>
  <si>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</si>
  <si>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</si>
  <si>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</si>
  <si>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</si>
  <si>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</si>
  <si>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</si>
  <si>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</si>
  <si>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</si>
  <si>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</si>
  <si>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</si>
  <si>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</si>
  <si>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</si>
  <si>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</si>
  <si>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</si>
  <si>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</si>
  <si>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</si>
  <si>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</si>
  <si>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</si>
  <si>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</si>
  <si>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</si>
  <si>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</si>
  <si>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</si>
  <si>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</si>
  <si>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</si>
  <si>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</si>
  <si>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</si>
  <si>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</si>
  <si>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</si>
  <si>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</si>
  <si>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</si>
  <si>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</si>
  <si>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목</t>
    <phoneticPr fontId="2" type="noConversion"/>
  </si>
  <si>
    <t>2025년 10월 근무편성표</t>
    <phoneticPr fontId="2" type="noConversion"/>
  </si>
  <si>
    <t>김지혜</t>
    <phoneticPr fontId="2" type="noConversion"/>
  </si>
  <si>
    <t>D</t>
    <phoneticPr fontId="2" type="noConversion"/>
  </si>
  <si>
    <t>D</t>
    <phoneticPr fontId="2" type="noConversion"/>
  </si>
  <si>
    <t>추</t>
    <phoneticPr fontId="2" type="noConversion"/>
  </si>
  <si>
    <t>석</t>
    <phoneticPr fontId="2" type="noConversion"/>
  </si>
  <si>
    <t>당</t>
    <phoneticPr fontId="2" type="noConversion"/>
  </si>
  <si>
    <t>일</t>
    <phoneticPr fontId="2" type="noConversion"/>
  </si>
  <si>
    <t>직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</si>
  <si>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</si>
  <si>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</si>
  <si>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</si>
  <si>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</si>
  <si>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</si>
  <si>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</si>
  <si>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</si>
  <si>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</si>
  <si>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</si>
  <si>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</si>
  <si>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</si>
  <si>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</si>
  <si>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</si>
  <si>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</si>
  <si>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</si>
  <si>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</si>
  <si>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</si>
  <si>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</si>
  <si>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</si>
  <si>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</si>
  <si>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</si>
  <si>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</si>
  <si>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</si>
  <si>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</si>
  <si>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</si>
  <si>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</si>
  <si>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</si>
  <si>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</si>
  <si>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</si>
  <si>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</si>
  <si>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</si>
  <si>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</si>
  <si>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</si>
  <si>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</si>
  <si>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</si>
  <si>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강선진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</si>
  <si>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</si>
  <si>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</si>
  <si>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</si>
  <si>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</si>
  <si>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</si>
  <si>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</si>
  <si>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</si>
  <si>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</si>
  <si>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</si>
  <si>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</si>
  <si>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</si>
  <si>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</si>
  <si>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</si>
  <si>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</si>
  <si>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</si>
  <si>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</si>
  <si>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</si>
  <si>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</si>
  <si>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</si>
  <si>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</si>
  <si>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</si>
  <si>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22일 수요일 출근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</si>
  <si>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</si>
  <si>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</si>
  <si>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</si>
  <si>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</si>
  <si>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마지막은 강선진t 1일에 휴무 체크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</si>
  <si>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</si>
  <si>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</si>
  <si>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</si>
  <si>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</si>
  <si>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</si>
  <si>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</si>
  <si>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11월 근무편성표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</si>
  <si>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</si>
  <si>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</si>
  <si>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</si>
  <si>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</si>
  <si>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</si>
  <si>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</si>
  <si>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</si>
  <si>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</si>
  <si>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</si>
  <si>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</si>
  <si>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</si>
  <si>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</si>
  <si>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</si>
  <si>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</si>
  <si>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</si>
  <si>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</si>
  <si>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</si>
  <si>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</si>
  <si>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</si>
  <si>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</si>
  <si>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</si>
  <si>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</si>
  <si>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</si>
  <si>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</si>
  <si>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</si>
  <si>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</si>
  <si>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</si>
  <si>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</si>
  <si>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</si>
  <si>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</si>
  <si>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</si>
  <si>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</si>
  <si>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</si>
  <si>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</si>
  <si>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</si>
  <si>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</si>
  <si>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</si>
  <si>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</si>
  <si>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</si>
  <si>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</si>
  <si>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</si>
  <si>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</si>
  <si>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</si>
  <si>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</si>
  <si>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</si>
  <si>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</si>
  <si>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</si>
  <si>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rPr>
        <sz val="6"/>
        <color theme="1"/>
        <rFont val="맑은 고딕"/>
        <family val="3"/>
        <charset val="129"/>
        <scheme val="major"/>
      </rPr>
      <t>▲</t>
    </r>
    <r>
      <rPr>
        <sz val="9"/>
        <color theme="1"/>
        <rFont val="맑은 고딕"/>
        <family val="3"/>
        <charset val="129"/>
        <scheme val="major"/>
      </rPr>
      <t>교육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</si>
  <si>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</si>
  <si>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</si>
  <si>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</si>
  <si>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</si>
  <si>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</si>
  <si>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변해미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</si>
  <si>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</si>
  <si>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</si>
  <si>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</si>
  <si>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2025년 12월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</si>
  <si>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</si>
  <si>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</si>
  <si>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</si>
  <si>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</si>
  <si>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</si>
  <si>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</si>
  <si>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</si>
  <si>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</si>
  <si>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</si>
  <si>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</si>
  <si>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</si>
  <si>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</si>
  <si>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</si>
  <si>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</si>
  <si>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</si>
  <si>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</si>
  <si>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</si>
  <si>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</si>
  <si>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</si>
  <si>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</si>
  <si>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</si>
  <si>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</si>
  <si>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</si>
  <si>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</si>
  <si>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</si>
  <si>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</si>
  <si>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</si>
  <si>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</si>
  <si>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</si>
  <si>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</si>
  <si>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</si>
  <si>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</si>
  <si>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</si>
  <si>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</si>
  <si>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</si>
  <si>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</si>
  <si>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 xml:space="preserve"> </t>
    <phoneticPr fontId="2" type="noConversion"/>
  </si>
  <si>
    <t>●</t>
    <phoneticPr fontId="2" type="noConversion"/>
  </si>
  <si>
    <t>2026년 1월 근무편성표</t>
    <phoneticPr fontId="2" type="noConversion"/>
  </si>
  <si>
    <t>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</si>
  <si>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</si>
  <si>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</si>
  <si>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</si>
  <si>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</si>
  <si>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</si>
  <si>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</si>
  <si>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</si>
  <si>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</si>
  <si>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</si>
  <si>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</si>
  <si>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</si>
  <si>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</si>
  <si>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</si>
  <si>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</si>
  <si>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</si>
  <si>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</si>
  <si>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</si>
  <si>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</si>
  <si>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</si>
  <si>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</si>
  <si>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화,목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</si>
  <si>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</si>
  <si>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</si>
  <si>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</si>
  <si>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</si>
  <si>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</si>
  <si>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</si>
  <si>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</si>
  <si>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</si>
  <si>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</si>
  <si>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</si>
  <si>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</si>
  <si>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</si>
  <si>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</si>
  <si>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</si>
  <si>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</si>
  <si>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</si>
  <si>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</si>
  <si>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</si>
  <si>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</si>
  <si>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</si>
  <si>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</si>
  <si>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2026년 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</si>
  <si>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</si>
  <si>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</si>
  <si>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</si>
  <si>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</si>
  <si>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</si>
  <si>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</si>
  <si>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</si>
  <si>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</si>
  <si>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UU+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</si>
  <si>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</si>
  <si>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</si>
  <si>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</si>
  <si>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</si>
  <si>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</si>
  <si>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</si>
  <si>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</si>
  <si>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</si>
  <si>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</si>
  <si>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</si>
  <si>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</si>
  <si>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</si>
  <si>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</si>
  <si>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</si>
  <si>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</si>
  <si>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</si>
  <si>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</si>
  <si>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</si>
  <si>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</si>
  <si>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</si>
  <si>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</si>
  <si>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</si>
  <si>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</si>
  <si>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</si>
  <si>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2026년 3월 근무편성표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</si>
  <si>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</si>
  <si>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</si>
  <si>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</si>
  <si>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</si>
  <si>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</si>
  <si>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</si>
  <si>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</si>
  <si>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</si>
  <si>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</si>
  <si>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</si>
  <si>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</si>
  <si>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</si>
  <si>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</si>
  <si>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</si>
  <si>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</si>
  <si>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</si>
  <si>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</si>
  <si>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</si>
  <si>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</si>
  <si>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</si>
  <si>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</si>
  <si>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</si>
  <si>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</si>
  <si>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</si>
  <si>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</si>
  <si>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</si>
  <si>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</si>
  <si>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</si>
  <si>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</si>
  <si>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15.5</t>
    <phoneticPr fontId="2" type="noConversion"/>
  </si>
  <si>
    <t xml:space="preserve">                          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</si>
  <si>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</si>
  <si>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</si>
  <si>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</si>
  <si>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</si>
  <si>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</si>
  <si>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</si>
  <si>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</si>
  <si>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</si>
  <si>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</si>
  <si>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</si>
  <si>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</si>
  <si>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2026년 4월 근무편성표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</si>
  <si>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</si>
  <si>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</si>
  <si>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</si>
  <si>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</si>
  <si>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</si>
  <si>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</si>
  <si>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</si>
  <si>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</si>
  <si>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</si>
  <si>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</si>
  <si>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</si>
  <si>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</si>
  <si>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</si>
  <si>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</si>
  <si>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</si>
  <si>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</si>
  <si>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</si>
  <si>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</si>
  <si>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</si>
  <si>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</si>
  <si>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</si>
  <si>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</si>
  <si>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</si>
  <si>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</si>
  <si>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</si>
  <si>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</si>
  <si>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</si>
  <si>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토</t>
    <phoneticPr fontId="2" type="noConversion"/>
  </si>
  <si>
    <t>2026년 5월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</si>
  <si>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</si>
  <si>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</si>
  <si>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</si>
  <si>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</si>
  <si>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</si>
  <si>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</si>
  <si>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</si>
  <si>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1일 사랑/소망 3, 믿음2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</si>
  <si>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</si>
  <si>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</si>
  <si>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</si>
  <si>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</si>
  <si>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</si>
  <si>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</si>
  <si>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</si>
  <si>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</si>
  <si>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</si>
  <si>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</si>
  <si>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</si>
  <si>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</si>
  <si>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</si>
  <si>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</si>
  <si>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</si>
  <si>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</si>
  <si>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</si>
  <si>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</si>
  <si>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</si>
  <si>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</si>
  <si>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</si>
  <si>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</si>
  <si>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</si>
  <si>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</si>
  <si>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</si>
  <si>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</si>
  <si>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</si>
  <si>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</si>
  <si>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</si>
  <si>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</si>
  <si>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</si>
  <si>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</si>
  <si>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</si>
  <si>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</si>
  <si>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8.5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</si>
  <si>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</si>
  <si>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</si>
  <si>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</si>
  <si>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</si>
  <si>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 xml:space="preserve">   </t>
    <phoneticPr fontId="2" type="noConversion"/>
  </si>
  <si>
    <t>●</t>
    <phoneticPr fontId="2" type="noConversion"/>
  </si>
  <si>
    <t>▲</t>
    <phoneticPr fontId="2" type="noConversion"/>
  </si>
  <si>
    <t>2026년 6월 근무편성표</t>
    <phoneticPr fontId="2" type="noConversion"/>
  </si>
  <si>
    <t>정성진</t>
    <phoneticPr fontId="2" type="noConversion"/>
  </si>
  <si>
    <t>4.5</t>
    <phoneticPr fontId="2" type="noConversion"/>
  </si>
  <si>
    <t>D(08:10~17:10)</t>
    <phoneticPr fontId="2" type="noConversion"/>
  </si>
  <si>
    <t>2026년 7월 근무편성표</t>
    <phoneticPr fontId="2" type="noConversion"/>
  </si>
  <si>
    <t>2026년 8월 근무편성표</t>
    <phoneticPr fontId="2" type="noConversion"/>
  </si>
  <si>
    <t>윤승락</t>
    <phoneticPr fontId="2" type="noConversion"/>
  </si>
  <si>
    <t>2026년 9월 근무편성표 ver. 9</t>
    <phoneticPr fontId="2" type="noConversion"/>
  </si>
  <si>
    <t>주방</t>
    <phoneticPr fontId="2" type="noConversion"/>
  </si>
  <si>
    <t>오후반차
12:40~17:10</t>
    <phoneticPr fontId="2" type="noConversion"/>
  </si>
  <si>
    <r>
      <t>D/</t>
    </r>
    <r>
      <rPr>
        <sz val="8"/>
        <color rgb="FF4F81BD"/>
        <rFont val="맑은 고딕"/>
        <family val="3"/>
        <charset val="129"/>
        <scheme val="major"/>
      </rPr>
      <t>●</t>
    </r>
    <phoneticPr fontId="2" type="noConversion"/>
  </si>
  <si>
    <t>오전반차
08:10~12:40</t>
    <phoneticPr fontId="2" type="noConversion"/>
  </si>
  <si>
    <r>
      <rPr>
        <sz val="8"/>
        <color rgb="FF4F81BD"/>
        <rFont val="맑은 고딕"/>
        <family val="3"/>
        <charset val="129"/>
        <scheme val="major"/>
      </rPr>
      <t>●</t>
    </r>
    <r>
      <rPr>
        <sz val="10"/>
        <color theme="1"/>
        <rFont val="맑은 고딕"/>
        <family val="3"/>
        <charset val="129"/>
        <scheme val="major"/>
      </rPr>
      <t>/D</t>
    </r>
    <phoneticPr fontId="2" type="noConversion"/>
  </si>
  <si>
    <t>오후연차반차
12:40~17:10</t>
    <phoneticPr fontId="2" type="noConversion"/>
  </si>
  <si>
    <r>
      <rPr>
        <sz val="10"/>
        <color rgb="FFFF0000"/>
        <rFont val="맑은 고딕"/>
        <family val="3"/>
        <charset val="129"/>
        <scheme val="major"/>
      </rPr>
      <t>D</t>
    </r>
    <r>
      <rPr>
        <sz val="11"/>
        <color rgb="FFFF0000"/>
        <rFont val="맑은 고딕"/>
        <family val="3"/>
        <charset val="129"/>
        <scheme val="major"/>
      </rPr>
      <t>/</t>
    </r>
    <r>
      <rPr>
        <sz val="8"/>
        <color rgb="FFFF0000"/>
        <rFont val="맑은 고딕"/>
        <family val="3"/>
        <charset val="129"/>
        <scheme val="major"/>
      </rPr>
      <t>▲</t>
    </r>
    <phoneticPr fontId="2" type="noConversion"/>
  </si>
  <si>
    <t>오전연차반차
08:00~12:40</t>
    <phoneticPr fontId="2" type="noConversion"/>
  </si>
  <si>
    <r>
      <rPr>
        <sz val="8"/>
        <color rgb="FFFF0000"/>
        <rFont val="맑은 고딕"/>
        <family val="3"/>
        <charset val="129"/>
        <scheme val="major"/>
      </rPr>
      <t>▲</t>
    </r>
    <r>
      <rPr>
        <sz val="10"/>
        <color rgb="FFFF0000"/>
        <rFont val="맑은 고딕"/>
        <family val="3"/>
        <charset val="129"/>
        <scheme val="major"/>
      </rPr>
      <t>/D</t>
    </r>
    <phoneticPr fontId="2" type="noConversion"/>
  </si>
  <si>
    <t>원하는 연차</t>
    <phoneticPr fontId="2" type="noConversion"/>
  </si>
  <si>
    <t xml:space="preserve">연차/휴무 기준 </t>
    <phoneticPr fontId="2" type="noConversion"/>
  </si>
  <si>
    <t>"가을은 모든 잎이
꽃이 되는
두번째 봄이다"</t>
    <phoneticPr fontId="2" type="noConversion"/>
  </si>
  <si>
    <t>반차교육.경조사</t>
    <phoneticPr fontId="2" type="noConversion"/>
  </si>
  <si>
    <t>D (08:10~17:10)</t>
    <phoneticPr fontId="2" type="noConversion"/>
  </si>
  <si>
    <t>소2사1</t>
    <phoneticPr fontId="2" type="noConversion"/>
  </si>
  <si>
    <t>행정실장</t>
    <phoneticPr fontId="2" type="noConversion"/>
  </si>
  <si>
    <t>토요일5 공휴일2 모든 휴일 11</t>
    <phoneticPr fontId="2" type="noConversion"/>
  </si>
  <si>
    <t>시설장</t>
    <phoneticPr fontId="2" type="noConversion"/>
  </si>
  <si>
    <t>2026년 10월 근무편성표 Ver.3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</si>
</sst>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72">
    <font>
      <sz val="11"/>
      <color theme="1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28"/>
      <color rgb="FF000000"/>
      <name val="새굴림"/>
      <family val="1"/>
      <charset val="129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3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rgb="FF000000"/>
      <name val="바탕"/>
      <family val="1"/>
      <charset val="129"/>
    </font>
    <font>
      <sz val="11"/>
      <color theme="1"/>
      <name val="맑은 고딕"/>
      <family val="2"/>
      <charset val="129"/>
      <scheme val="minor"/>
    </font>
    <font>
      <b/>
      <sz val="13"/>
      <color rgb="FF3F3F3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000000"/>
      <name val="바탕"/>
      <family val="1"/>
      <charset val="129"/>
    </font>
    <font>
      <b/>
      <sz val="10"/>
      <color theme="1"/>
      <name val="맑은 고딕"/>
      <family val="3"/>
      <charset val="129"/>
      <scheme val="minor"/>
    </font>
    <font>
      <b/>
      <sz val="12"/>
      <color rgb="FF3F3F3F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2"/>
      <color theme="4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rgb="FF3F3F3F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ajor"/>
    </font>
    <font>
      <sz val="11"/>
      <color rgb="FFFF0000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ajor"/>
    </font>
    <font>
      <sz val="11"/>
      <color rgb="FFFF0000"/>
      <name val="맑은 고딕"/>
      <family val="2"/>
      <charset val="129"/>
      <scheme val="minor"/>
    </font>
    <font>
      <sz val="11"/>
      <color rgb="FF0000CC"/>
      <name val="맑은 고딕"/>
      <family val="2"/>
      <charset val="129"/>
      <scheme val="minor"/>
    </font>
    <font>
      <sz val="11"/>
      <color rgb="FF0000CC"/>
      <name val="맑은 고딕"/>
      <family val="3"/>
      <charset val="129"/>
      <scheme val="minor"/>
    </font>
    <font>
      <b/>
      <sz val="13"/>
      <name val="맑은 고딕"/>
      <family val="3"/>
      <charset val="129"/>
      <scheme val="minor"/>
    </font>
    <font>
      <sz val="12"/>
      <name val="맑은 고딕"/>
      <family val="3"/>
      <charset val="129"/>
      <scheme val="major"/>
    </font>
    <font>
      <sz val="12"/>
      <color rgb="FFFF0000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3"/>
      <color rgb="FFFF0000"/>
      <name val="맑은 고딕"/>
      <family val="3"/>
      <charset val="129"/>
      <scheme val="minor"/>
    </font>
    <font>
      <b/>
      <sz val="12"/>
      <color rgb="FF4F81BD"/>
      <name val="맑은 고딕"/>
      <family val="3"/>
      <charset val="129"/>
      <scheme val="major"/>
    </font>
    <font>
      <sz val="5"/>
      <color rgb="FFFF0000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b/>
      <sz val="13"/>
      <color rgb="FF4F81BD"/>
      <name val="맑은 고딕"/>
      <family val="3"/>
      <charset val="129"/>
      <scheme val="minor"/>
    </font>
    <font>
      <sz val="5"/>
      <color rgb="FF4F81BD"/>
      <name val="맑은 고딕"/>
      <family val="3"/>
      <charset val="129"/>
      <scheme val="major"/>
    </font>
    <font>
      <sz val="11"/>
      <color rgb="FF4F81BD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sz val="6"/>
      <color rgb="FFFF0000"/>
      <name val="맑은 고딕"/>
      <family val="3"/>
      <charset val="129"/>
      <scheme val="major"/>
    </font>
    <font>
      <sz val="6"/>
      <color rgb="FF4F81BD"/>
      <name val="맑은 고딕"/>
      <family val="3"/>
      <charset val="129"/>
      <scheme val="maj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2"/>
      <color theme="4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b/>
      <sz val="9"/>
      <name val="맑은 고딕"/>
      <family val="3"/>
      <charset val="129"/>
      <scheme val="minor"/>
    </font>
    <font>
      <sz val="9"/>
      <color rgb="FF0000CC"/>
      <name val="맑은 고딕"/>
      <family val="2"/>
      <charset val="129"/>
      <scheme val="minor"/>
    </font>
    <font>
      <sz val="8"/>
      <color rgb="FF4F81BD"/>
      <name val="맑은 고딕"/>
      <family val="2"/>
      <charset val="129"/>
      <scheme val="minor"/>
    </font>
    <font>
      <sz val="6"/>
      <color theme="1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  <font>
      <sz val="12"/>
      <color theme="3" tint="0.39997558519241921"/>
      <name val="맑은 고딕"/>
      <family val="3"/>
      <charset val="129"/>
      <scheme val="major"/>
    </font>
    <font>
      <b/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rgb="FF4F81BD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8"/>
      <color rgb="FFFF0000"/>
      <name val="맑은 고딕"/>
      <family val="3"/>
      <charset val="129"/>
      <scheme val="major"/>
    </font>
    <font>
      <sz val="13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</font>
    <font>
      <b/>
      <sz val="11"/>
      <color rgb="FF0000CC"/>
      <name val="맑은 고딕"/>
      <family val="2"/>
      <charset val="129"/>
      <scheme val="minor"/>
    </font>
    <font>
      <sz val="12"/>
      <color rgb="FF0070C0"/>
      <name val="맑은 고딕"/>
      <family val="3"/>
      <charset val="129"/>
      <scheme val="major"/>
    </font>
    <font>
      <sz val="13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b/>
      <sz val="13"/>
      <color rgb="FF0070C0"/>
      <name val="맑은 고딕"/>
      <family val="3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7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21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rgb="FFFF0000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indexed="64"/>
      </diagonal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/>
      <right style="hair">
        <color indexed="64"/>
      </right>
      <top style="hair">
        <color theme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hair">
        <color indexed="64"/>
      </diagonal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indexed="64"/>
      </top>
      <bottom style="hair">
        <color theme="1"/>
      </bottom>
      <diagonal/>
    </border>
    <border>
      <left/>
      <right style="hair">
        <color indexed="64"/>
      </right>
      <top style="hair">
        <color indexed="64"/>
      </top>
      <bottom style="hair">
        <color theme="1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hair">
        <color indexed="64"/>
      </diagonal>
    </border>
    <border>
      <left/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theme="1"/>
      </top>
      <bottom style="hair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theme="1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medium">
        <color theme="1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medium">
        <color auto="1"/>
      </left>
      <right style="hair">
        <color indexed="64"/>
      </right>
      <top style="medium">
        <color auto="1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medium">
        <color auto="1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medium">
        <color auto="1"/>
      </bottom>
      <diagonal/>
    </border>
    <border>
      <left style="thin">
        <color indexed="64"/>
      </left>
      <right/>
      <top style="hair">
        <color theme="1"/>
      </top>
      <bottom style="hair">
        <color indexed="64"/>
      </bottom>
      <diagonal/>
    </border>
    <border>
      <left/>
      <right style="hair">
        <color theme="1"/>
      </right>
      <top style="hair">
        <color theme="1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 diagonalUp="1"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theme="1"/>
      </left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thin">
        <color rgb="FFFF0000"/>
      </diagonal>
    </border>
    <border diagonalUp="1"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 style="thin">
        <color indexed="64"/>
      </diagonal>
    </border>
    <border>
      <left style="hair">
        <color indexed="64"/>
      </left>
      <right style="hair">
        <color theme="1"/>
      </right>
      <top style="thin">
        <color indexed="64"/>
      </top>
      <bottom style="hair">
        <color theme="1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theme="1"/>
      </right>
      <top style="thin">
        <color theme="1"/>
      </top>
      <bottom/>
      <diagonal/>
    </border>
    <border>
      <left style="hair">
        <color theme="1"/>
      </left>
      <right style="hair">
        <color theme="1"/>
      </right>
      <top style="thin">
        <color indexed="64"/>
      </top>
      <bottom/>
      <diagonal/>
    </border>
    <border>
      <left style="hair">
        <color theme="1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auto="1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hair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hair">
        <color indexed="64"/>
      </top>
      <bottom/>
      <diagonal/>
    </border>
    <border>
      <left style="hair">
        <color theme="1"/>
      </left>
      <right/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hair">
        <color indexed="64"/>
      </top>
      <bottom style="thin">
        <color indexed="64"/>
      </bottom>
      <diagonal/>
    </border>
    <border>
      <left/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indexed="64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thin">
        <color indexed="64"/>
      </top>
      <bottom style="hair">
        <color theme="1"/>
      </bottom>
      <diagonal/>
    </border>
    <border>
      <left style="hair">
        <color indexed="64"/>
      </left>
      <right style="thin">
        <color theme="1"/>
      </right>
      <top/>
      <bottom/>
      <diagonal/>
    </border>
    <border>
      <left/>
      <right style="thin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/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/>
      <bottom style="thin">
        <color indexed="64"/>
      </bottom>
      <diagonal style="thin">
        <color indexed="64"/>
      </diagonal>
    </border>
    <border>
      <left style="hair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hair">
        <color indexed="64"/>
      </left>
      <right style="thin">
        <color indexed="64"/>
      </right>
      <top style="hair">
        <color theme="1"/>
      </top>
      <bottom style="thin">
        <color theme="1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theme="1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>
      <left style="hair">
        <color indexed="64"/>
      </left>
      <right/>
      <top style="hair">
        <color theme="1"/>
      </top>
      <bottom style="thin">
        <color theme="1"/>
      </bottom>
      <diagonal/>
    </border>
    <border>
      <left/>
      <right style="hair">
        <color indexed="64"/>
      </right>
      <top style="hair">
        <color theme="1"/>
      </top>
      <bottom style="thin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  <border>
      <left/>
      <right/>
      <top style="thin">
        <color indexed="64"/>
      </top>
      <bottom style="hair">
        <color theme="1"/>
      </bottom>
      <diagonal/>
    </border>
    <border>
      <left style="hair">
        <color indexed="64"/>
      </left>
      <right/>
      <top style="thin">
        <color indexed="64"/>
      </top>
      <bottom style="hair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 diagonalDown="1">
      <left style="thin">
        <color indexed="64"/>
      </left>
      <right/>
      <top/>
      <bottom/>
      <diagonal style="thin">
        <color indexed="64"/>
      </diagonal>
    </border>
  </borders>
  <cellStyleXfs count="3">
    <xf numFmtId="0" fontId="0" fillId="0" borderId="0">
      <alignment vertical="center"/>
    </xf>
    <xf numFmtId="0" fontId="1" fillId="2" borderId="1" applyNumberFormat="0" applyAlignment="0" applyProtection="0">
      <alignment vertical="center"/>
    </xf>
    <xf numFmtId="0" fontId="27" fillId="6" borderId="0" applyNumberFormat="0" applyBorder="0" applyAlignment="0" applyProtection="0">
      <alignment vertical="center"/>
    </xf>
  </cellStyleXfs>
  <cellXfs count="849">
    <xf numFmtId="0" fontId="0" fillId="0" borderId="0" xfId="0">
      <alignment vertical="center"/>
    </xf>
    <xf numFmtId="0" fontId="9" fillId="0" borderId="0" xfId="0" applyFont="1">
      <alignment vertical="center"/>
    </xf>
    <xf numFmtId="0" fontId="20" fillId="3" borderId="2" xfId="0" applyFont="1" applyFill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49" fontId="26" fillId="0" borderId="7" xfId="0" applyNumberFormat="1" applyFont="1" applyBorder="1" applyAlignment="1">
      <alignment horizontal="center" vertical="center"/>
    </xf>
    <xf numFmtId="49" fontId="29" fillId="0" borderId="8" xfId="0" applyNumberFormat="1" applyFont="1" applyBorder="1" applyAlignment="1">
      <alignment horizontal="center" vertical="center"/>
    </xf>
    <xf numFmtId="0" fontId="9" fillId="0" borderId="0" xfId="0" applyFont="1" applyAlignment="1"/>
    <xf numFmtId="0" fontId="0" fillId="0" borderId="0" xfId="0" applyAlignment="1">
      <alignment horizontal="center" vertical="center"/>
    </xf>
    <xf numFmtId="0" fontId="31" fillId="0" borderId="0" xfId="0" applyFont="1">
      <alignment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2" fillId="0" borderId="0" xfId="0" applyFont="1">
      <alignment vertical="center"/>
    </xf>
    <xf numFmtId="0" fontId="28" fillId="8" borderId="2" xfId="0" applyFont="1" applyFill="1" applyBorder="1" applyAlignment="1">
      <alignment horizontal="center" vertical="center"/>
    </xf>
    <xf numFmtId="0" fontId="11" fillId="3" borderId="28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3" fillId="0" borderId="35" xfId="1" applyFont="1" applyFill="1" applyBorder="1" applyAlignment="1">
      <alignment horizontal="center" vertical="center" wrapText="1"/>
    </xf>
    <xf numFmtId="1" fontId="21" fillId="5" borderId="10" xfId="0" applyNumberFormat="1" applyFont="1" applyFill="1" applyBorder="1" applyAlignment="1">
      <alignment horizontal="center" vertical="center"/>
    </xf>
    <xf numFmtId="1" fontId="13" fillId="4" borderId="10" xfId="0" applyNumberFormat="1" applyFont="1" applyFill="1" applyBorder="1" applyAlignment="1">
      <alignment horizontal="center" vertical="center"/>
    </xf>
    <xf numFmtId="1" fontId="21" fillId="5" borderId="33" xfId="0" applyNumberFormat="1" applyFont="1" applyFill="1" applyBorder="1" applyAlignment="1">
      <alignment horizontal="center" vertical="center"/>
    </xf>
    <xf numFmtId="1" fontId="13" fillId="4" borderId="33" xfId="0" applyNumberFormat="1" applyFont="1" applyFill="1" applyBorder="1" applyAlignment="1">
      <alignment horizontal="center" vertical="center"/>
    </xf>
    <xf numFmtId="1" fontId="21" fillId="5" borderId="13" xfId="0" applyNumberFormat="1" applyFont="1" applyFill="1" applyBorder="1" applyAlignment="1">
      <alignment horizontal="center" vertical="center"/>
    </xf>
    <xf numFmtId="1" fontId="13" fillId="4" borderId="13" xfId="0" applyNumberFormat="1" applyFont="1" applyFill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" fontId="13" fillId="0" borderId="33" xfId="0" applyNumberFormat="1" applyFont="1" applyBorder="1" applyAlignment="1">
      <alignment horizontal="center" vertical="center"/>
    </xf>
    <xf numFmtId="1" fontId="13" fillId="0" borderId="13" xfId="0" applyNumberFormat="1" applyFont="1" applyBorder="1" applyAlignment="1">
      <alignment horizontal="center" vertical="center"/>
    </xf>
    <xf numFmtId="1" fontId="11" fillId="0" borderId="13" xfId="0" applyNumberFormat="1" applyFont="1" applyBorder="1" applyAlignment="1">
      <alignment horizontal="center" vertical="center"/>
    </xf>
    <xf numFmtId="1" fontId="11" fillId="0" borderId="33" xfId="0" applyNumberFormat="1" applyFont="1" applyBorder="1" applyAlignment="1">
      <alignment horizontal="center" vertical="center"/>
    </xf>
    <xf numFmtId="1" fontId="13" fillId="4" borderId="39" xfId="0" applyNumberFormat="1" applyFont="1" applyFill="1" applyBorder="1" applyAlignment="1">
      <alignment horizontal="center" vertical="center"/>
    </xf>
    <xf numFmtId="1" fontId="21" fillId="5" borderId="40" xfId="0" applyNumberFormat="1" applyFont="1" applyFill="1" applyBorder="1" applyAlignment="1">
      <alignment horizontal="center" vertical="center"/>
    </xf>
    <xf numFmtId="1" fontId="13" fillId="4" borderId="40" xfId="0" applyNumberFormat="1" applyFont="1" applyFill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34" fillId="5" borderId="9" xfId="0" applyFont="1" applyFill="1" applyBorder="1" applyAlignment="1">
      <alignment horizontal="center" vertical="center"/>
    </xf>
    <xf numFmtId="0" fontId="9" fillId="10" borderId="0" xfId="0" applyFont="1" applyFill="1">
      <alignment vertical="center"/>
    </xf>
    <xf numFmtId="0" fontId="35" fillId="0" borderId="12" xfId="0" applyFont="1" applyBorder="1" applyAlignment="1">
      <alignment horizontal="center" vertical="center"/>
    </xf>
    <xf numFmtId="0" fontId="35" fillId="0" borderId="15" xfId="0" applyFont="1" applyBorder="1" applyAlignment="1">
      <alignment horizontal="center" vertical="center"/>
    </xf>
    <xf numFmtId="0" fontId="9" fillId="11" borderId="0" xfId="0" applyFont="1" applyFill="1">
      <alignment vertical="center"/>
    </xf>
    <xf numFmtId="0" fontId="35" fillId="0" borderId="23" xfId="0" applyFon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5" fillId="0" borderId="27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49" fontId="35" fillId="0" borderId="45" xfId="0" applyNumberFormat="1" applyFont="1" applyBorder="1" applyAlignment="1">
      <alignment horizontal="center" vertical="center"/>
    </xf>
    <xf numFmtId="49" fontId="35" fillId="0" borderId="50" xfId="0" applyNumberFormat="1" applyFont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5" fillId="0" borderId="63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0" fontId="39" fillId="5" borderId="9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0" fontId="35" fillId="0" borderId="61" xfId="0" applyFont="1" applyBorder="1" applyAlignment="1">
      <alignment horizontal="center" vertical="center"/>
    </xf>
    <xf numFmtId="0" fontId="23" fillId="0" borderId="39" xfId="1" applyFont="1" applyFill="1" applyBorder="1" applyAlignment="1">
      <alignment horizontal="center" vertical="center" wrapText="1"/>
    </xf>
    <xf numFmtId="1" fontId="11" fillId="0" borderId="10" xfId="0" applyNumberFormat="1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49" fontId="35" fillId="0" borderId="14" xfId="0" applyNumberFormat="1" applyFont="1" applyBorder="1" applyAlignment="1">
      <alignment horizontal="center" vertical="center"/>
    </xf>
    <xf numFmtId="49" fontId="35" fillId="0" borderId="15" xfId="0" applyNumberFormat="1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49" fontId="35" fillId="0" borderId="24" xfId="0" applyNumberFormat="1" applyFont="1" applyBorder="1" applyAlignment="1">
      <alignment horizontal="center" vertical="center"/>
    </xf>
    <xf numFmtId="49" fontId="35" fillId="0" borderId="43" xfId="0" applyNumberFormat="1" applyFont="1" applyBorder="1" applyAlignment="1">
      <alignment horizontal="center" vertical="center"/>
    </xf>
    <xf numFmtId="0" fontId="35" fillId="0" borderId="64" xfId="0" applyFont="1" applyBorder="1" applyAlignment="1">
      <alignment horizontal="center" vertical="center"/>
    </xf>
    <xf numFmtId="0" fontId="35" fillId="0" borderId="50" xfId="0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/>
    </xf>
    <xf numFmtId="49" fontId="35" fillId="0" borderId="29" xfId="0" applyNumberFormat="1" applyFont="1" applyBorder="1" applyAlignment="1">
      <alignment horizontal="center" vertical="center"/>
    </xf>
    <xf numFmtId="49" fontId="35" fillId="0" borderId="47" xfId="0" applyNumberFormat="1" applyFont="1" applyBorder="1" applyAlignment="1">
      <alignment horizontal="center" vertical="center"/>
    </xf>
    <xf numFmtId="0" fontId="35" fillId="0" borderId="62" xfId="0" applyFont="1" applyBorder="1" applyAlignment="1">
      <alignment horizontal="center" vertical="center"/>
    </xf>
    <xf numFmtId="0" fontId="35" fillId="0" borderId="4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/>
    </xf>
    <xf numFmtId="49" fontId="35" fillId="0" borderId="23" xfId="0" applyNumberFormat="1" applyFont="1" applyBorder="1" applyAlignment="1">
      <alignment horizontal="center" vertical="center"/>
    </xf>
    <xf numFmtId="49" fontId="35" fillId="0" borderId="46" xfId="0" applyNumberFormat="1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49" fontId="35" fillId="0" borderId="53" xfId="0" applyNumberFormat="1" applyFont="1" applyBorder="1" applyAlignment="1">
      <alignment horizontal="center" vertical="center"/>
    </xf>
    <xf numFmtId="49" fontId="35" fillId="0" borderId="12" xfId="0" applyNumberFormat="1" applyFont="1" applyBorder="1" applyAlignment="1">
      <alignment horizontal="center" vertical="center"/>
    </xf>
    <xf numFmtId="49" fontId="35" fillId="0" borderId="11" xfId="0" applyNumberFormat="1" applyFont="1" applyBorder="1" applyAlignment="1">
      <alignment horizontal="center" vertical="center"/>
    </xf>
    <xf numFmtId="0" fontId="35" fillId="0" borderId="49" xfId="0" applyFont="1" applyBorder="1" applyAlignment="1">
      <alignment horizontal="center" vertical="center"/>
    </xf>
    <xf numFmtId="49" fontId="35" fillId="0" borderId="49" xfId="0" applyNumberFormat="1" applyFont="1" applyBorder="1" applyAlignment="1">
      <alignment horizontal="center" vertical="center"/>
    </xf>
    <xf numFmtId="0" fontId="35" fillId="0" borderId="65" xfId="0" applyFont="1" applyBorder="1" applyAlignment="1">
      <alignment horizontal="center" vertical="center"/>
    </xf>
    <xf numFmtId="49" fontId="35" fillId="0" borderId="41" xfId="0" applyNumberFormat="1" applyFont="1" applyBorder="1" applyAlignment="1">
      <alignment horizontal="center" vertical="center"/>
    </xf>
    <xf numFmtId="0" fontId="35" fillId="0" borderId="66" xfId="0" applyFont="1" applyBorder="1" applyAlignment="1">
      <alignment horizontal="center" vertical="center"/>
    </xf>
    <xf numFmtId="49" fontId="37" fillId="0" borderId="45" xfId="0" applyNumberFormat="1" applyFont="1" applyBorder="1" applyAlignment="1">
      <alignment horizontal="center" vertical="center"/>
    </xf>
    <xf numFmtId="0" fontId="37" fillId="0" borderId="27" xfId="0" applyFont="1" applyBorder="1" applyAlignment="1">
      <alignment horizontal="center" vertical="center"/>
    </xf>
    <xf numFmtId="49" fontId="35" fillId="0" borderId="68" xfId="0" applyNumberFormat="1" applyFont="1" applyBorder="1" applyAlignment="1">
      <alignment horizontal="center" vertical="center"/>
    </xf>
    <xf numFmtId="49" fontId="26" fillId="0" borderId="27" xfId="0" applyNumberFormat="1" applyFont="1" applyBorder="1" applyAlignment="1">
      <alignment horizontal="center" vertical="center"/>
    </xf>
    <xf numFmtId="0" fontId="35" fillId="0" borderId="47" xfId="0" applyFont="1" applyBorder="1" applyAlignment="1">
      <alignment horizontal="center" vertical="center"/>
    </xf>
    <xf numFmtId="0" fontId="35" fillId="0" borderId="6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49" fontId="35" fillId="0" borderId="62" xfId="0" applyNumberFormat="1" applyFont="1" applyBorder="1" applyAlignment="1">
      <alignment horizontal="center" vertical="center"/>
    </xf>
    <xf numFmtId="0" fontId="36" fillId="0" borderId="23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49" fontId="35" fillId="0" borderId="17" xfId="0" applyNumberFormat="1" applyFont="1" applyBorder="1" applyAlignment="1">
      <alignment horizontal="center" vertical="center"/>
    </xf>
    <xf numFmtId="0" fontId="35" fillId="0" borderId="69" xfId="0" applyFont="1" applyBorder="1" applyAlignment="1">
      <alignment horizontal="center" vertical="center"/>
    </xf>
    <xf numFmtId="49" fontId="35" fillId="0" borderId="20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26" fillId="0" borderId="12" xfId="0" applyNumberFormat="1" applyFont="1" applyBorder="1" applyAlignment="1">
      <alignment horizontal="center" vertical="center"/>
    </xf>
    <xf numFmtId="49" fontId="30" fillId="0" borderId="12" xfId="0" applyNumberFormat="1" applyFont="1" applyBorder="1" applyAlignment="1">
      <alignment horizontal="center" vertical="center"/>
    </xf>
    <xf numFmtId="0" fontId="37" fillId="0" borderId="21" xfId="0" applyFont="1" applyBorder="1" applyAlignment="1">
      <alignment horizontal="center" vertical="center"/>
    </xf>
    <xf numFmtId="49" fontId="35" fillId="0" borderId="16" xfId="0" applyNumberFormat="1" applyFont="1" applyBorder="1" applyAlignment="1">
      <alignment horizontal="center" vertical="center"/>
    </xf>
    <xf numFmtId="49" fontId="35" fillId="0" borderId="35" xfId="0" applyNumberFormat="1" applyFont="1" applyBorder="1" applyAlignment="1">
      <alignment horizontal="center" vertical="center"/>
    </xf>
    <xf numFmtId="0" fontId="35" fillId="0" borderId="45" xfId="0" applyFont="1" applyBorder="1" applyAlignment="1">
      <alignment horizontal="center" vertical="center"/>
    </xf>
    <xf numFmtId="0" fontId="35" fillId="0" borderId="35" xfId="0" applyFont="1" applyBorder="1" applyAlignment="1">
      <alignment horizontal="center" vertical="center"/>
    </xf>
    <xf numFmtId="0" fontId="37" fillId="0" borderId="63" xfId="0" applyFont="1" applyBorder="1" applyAlignment="1">
      <alignment horizontal="center" vertical="center"/>
    </xf>
    <xf numFmtId="49" fontId="35" fillId="0" borderId="64" xfId="0" applyNumberFormat="1" applyFont="1" applyBorder="1" applyAlignment="1">
      <alignment horizontal="center" vertical="center"/>
    </xf>
    <xf numFmtId="0" fontId="40" fillId="9" borderId="15" xfId="0" applyFont="1" applyFill="1" applyBorder="1" applyAlignment="1">
      <alignment horizontal="center" vertical="center"/>
    </xf>
    <xf numFmtId="49" fontId="26" fillId="0" borderId="71" xfId="0" applyNumberFormat="1" applyFont="1" applyBorder="1" applyAlignment="1">
      <alignment horizontal="center" vertical="center"/>
    </xf>
    <xf numFmtId="0" fontId="13" fillId="0" borderId="72" xfId="0" applyFont="1" applyBorder="1" applyAlignment="1">
      <alignment horizontal="center" vertical="center"/>
    </xf>
    <xf numFmtId="0" fontId="35" fillId="0" borderId="73" xfId="0" applyFont="1" applyBorder="1" applyAlignment="1">
      <alignment horizontal="center" vertical="center"/>
    </xf>
    <xf numFmtId="0" fontId="35" fillId="0" borderId="53" xfId="0" applyFont="1" applyBorder="1" applyAlignment="1">
      <alignment horizontal="center" vertical="center"/>
    </xf>
    <xf numFmtId="49" fontId="36" fillId="0" borderId="15" xfId="0" applyNumberFormat="1" applyFont="1" applyBorder="1" applyAlignment="1">
      <alignment horizontal="center" vertical="center"/>
    </xf>
    <xf numFmtId="0" fontId="37" fillId="0" borderId="61" xfId="0" applyFont="1" applyBorder="1" applyAlignment="1">
      <alignment horizontal="center" vertical="center"/>
    </xf>
    <xf numFmtId="0" fontId="35" fillId="0" borderId="75" xfId="0" applyFont="1" applyBorder="1" applyAlignment="1">
      <alignment horizontal="center" vertical="center"/>
    </xf>
    <xf numFmtId="49" fontId="37" fillId="0" borderId="15" xfId="0" applyNumberFormat="1" applyFont="1" applyBorder="1" applyAlignment="1">
      <alignment horizontal="center" vertical="center"/>
    </xf>
    <xf numFmtId="49" fontId="35" fillId="0" borderId="63" xfId="0" applyNumberFormat="1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49" fontId="29" fillId="0" borderId="76" xfId="0" applyNumberFormat="1" applyFont="1" applyBorder="1" applyAlignment="1">
      <alignment horizontal="center" vertical="center"/>
    </xf>
    <xf numFmtId="49" fontId="29" fillId="0" borderId="77" xfId="0" applyNumberFormat="1" applyFont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49" fontId="35" fillId="0" borderId="27" xfId="0" applyNumberFormat="1" applyFont="1" applyBorder="1" applyAlignment="1">
      <alignment horizontal="center" vertical="center"/>
    </xf>
    <xf numFmtId="49" fontId="35" fillId="0" borderId="55" xfId="0" applyNumberFormat="1" applyFont="1" applyBorder="1" applyAlignment="1">
      <alignment horizontal="center" vertical="center"/>
    </xf>
    <xf numFmtId="0" fontId="35" fillId="0" borderId="74" xfId="0" applyFont="1" applyBorder="1" applyAlignment="1">
      <alignment horizontal="center" vertical="center"/>
    </xf>
    <xf numFmtId="1" fontId="11" fillId="0" borderId="40" xfId="0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49" fontId="26" fillId="0" borderId="15" xfId="0" applyNumberFormat="1" applyFont="1" applyBorder="1" applyAlignment="1">
      <alignment horizontal="center" vertical="center"/>
    </xf>
    <xf numFmtId="0" fontId="43" fillId="5" borderId="9" xfId="0" applyFont="1" applyFill="1" applyBorder="1" applyAlignment="1">
      <alignment horizontal="center" vertical="center"/>
    </xf>
    <xf numFmtId="0" fontId="37" fillId="0" borderId="11" xfId="0" applyFont="1" applyBorder="1" applyAlignment="1">
      <alignment horizontal="center" vertical="center"/>
    </xf>
    <xf numFmtId="49" fontId="42" fillId="0" borderId="27" xfId="0" applyNumberFormat="1" applyFont="1" applyBorder="1" applyAlignment="1">
      <alignment horizontal="center" vertical="center"/>
    </xf>
    <xf numFmtId="49" fontId="42" fillId="0" borderId="15" xfId="0" applyNumberFormat="1" applyFont="1" applyBorder="1" applyAlignment="1">
      <alignment horizontal="center" vertical="center"/>
    </xf>
    <xf numFmtId="49" fontId="42" fillId="0" borderId="17" xfId="0" applyNumberFormat="1" applyFont="1" applyBorder="1" applyAlignment="1">
      <alignment horizontal="center" vertical="center"/>
    </xf>
    <xf numFmtId="0" fontId="35" fillId="0" borderId="20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28" fillId="8" borderId="15" xfId="0" applyFont="1" applyFill="1" applyBorder="1" applyAlignment="1">
      <alignment horizontal="center" vertical="center"/>
    </xf>
    <xf numFmtId="49" fontId="37" fillId="0" borderId="62" xfId="0" applyNumberFormat="1" applyFont="1" applyBorder="1" applyAlignment="1">
      <alignment horizontal="center" vertical="center"/>
    </xf>
    <xf numFmtId="0" fontId="37" fillId="9" borderId="23" xfId="0" applyFont="1" applyFill="1" applyBorder="1" applyAlignment="1">
      <alignment horizontal="center" vertical="center"/>
    </xf>
    <xf numFmtId="0" fontId="37" fillId="9" borderId="15" xfId="0" applyFont="1" applyFill="1" applyBorder="1" applyAlignment="1">
      <alignment horizontal="center" vertical="center"/>
    </xf>
    <xf numFmtId="0" fontId="36" fillId="0" borderId="63" xfId="0" applyFont="1" applyBorder="1" applyAlignment="1">
      <alignment horizontal="center" vertical="center"/>
    </xf>
    <xf numFmtId="0" fontId="37" fillId="9" borderId="12" xfId="0" applyFont="1" applyFill="1" applyBorder="1" applyAlignment="1">
      <alignment horizontal="center" vertical="center"/>
    </xf>
    <xf numFmtId="49" fontId="26" fillId="0" borderId="80" xfId="0" applyNumberFormat="1" applyFont="1" applyBorder="1" applyAlignment="1">
      <alignment horizontal="center" vertical="center"/>
    </xf>
    <xf numFmtId="49" fontId="37" fillId="0" borderId="17" xfId="0" applyNumberFormat="1" applyFont="1" applyBorder="1" applyAlignment="1">
      <alignment horizontal="center" vertical="center"/>
    </xf>
    <xf numFmtId="0" fontId="35" fillId="0" borderId="16" xfId="0" applyFont="1" applyBorder="1" applyAlignment="1">
      <alignment horizontal="center" vertical="center"/>
    </xf>
    <xf numFmtId="49" fontId="37" fillId="0" borderId="14" xfId="0" applyNumberFormat="1" applyFont="1" applyBorder="1" applyAlignment="1">
      <alignment horizontal="center" vertical="center"/>
    </xf>
    <xf numFmtId="49" fontId="42" fillId="0" borderId="12" xfId="0" applyNumberFormat="1" applyFont="1" applyBorder="1" applyAlignment="1">
      <alignment horizontal="center" vertical="center"/>
    </xf>
    <xf numFmtId="0" fontId="35" fillId="0" borderId="80" xfId="0" applyFont="1" applyBorder="1" applyAlignment="1">
      <alignment horizontal="center" vertical="center"/>
    </xf>
    <xf numFmtId="49" fontId="35" fillId="0" borderId="80" xfId="0" applyNumberFormat="1" applyFont="1" applyBorder="1" applyAlignment="1">
      <alignment horizontal="center" vertical="center"/>
    </xf>
    <xf numFmtId="49" fontId="35" fillId="0" borderId="21" xfId="0" applyNumberFormat="1" applyFont="1" applyBorder="1" applyAlignment="1">
      <alignment horizontal="center" vertical="center"/>
    </xf>
    <xf numFmtId="0" fontId="37" fillId="0" borderId="25" xfId="0" applyFont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6" fillId="0" borderId="62" xfId="0" applyFont="1" applyBorder="1" applyAlignment="1">
      <alignment horizontal="center" vertical="center"/>
    </xf>
    <xf numFmtId="0" fontId="40" fillId="9" borderId="2" xfId="0" applyFont="1" applyFill="1" applyBorder="1" applyAlignment="1">
      <alignment horizontal="center" vertical="center"/>
    </xf>
    <xf numFmtId="49" fontId="37" fillId="9" borderId="15" xfId="0" applyNumberFormat="1" applyFont="1" applyFill="1" applyBorder="1" applyAlignment="1">
      <alignment horizontal="center" vertical="center"/>
    </xf>
    <xf numFmtId="49" fontId="37" fillId="9" borderId="14" xfId="0" applyNumberFormat="1" applyFont="1" applyFill="1" applyBorder="1" applyAlignment="1">
      <alignment horizontal="center" vertical="center"/>
    </xf>
    <xf numFmtId="0" fontId="36" fillId="0" borderId="50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49" fontId="35" fillId="0" borderId="0" xfId="0" applyNumberFormat="1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" fontId="21" fillId="0" borderId="0" xfId="0" applyNumberFormat="1" applyFont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49" fontId="36" fillId="0" borderId="50" xfId="0" applyNumberFormat="1" applyFont="1" applyBorder="1" applyAlignment="1">
      <alignment horizontal="center" vertical="center"/>
    </xf>
    <xf numFmtId="49" fontId="30" fillId="0" borderId="66" xfId="0" applyNumberFormat="1" applyFont="1" applyBorder="1" applyAlignment="1">
      <alignment horizontal="center" vertical="center"/>
    </xf>
    <xf numFmtId="0" fontId="37" fillId="0" borderId="50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1" fontId="13" fillId="0" borderId="39" xfId="0" applyNumberFormat="1" applyFont="1" applyBorder="1" applyAlignment="1">
      <alignment horizontal="center" vertical="center"/>
    </xf>
    <xf numFmtId="49" fontId="35" fillId="0" borderId="73" xfId="0" applyNumberFormat="1" applyFont="1" applyBorder="1" applyAlignment="1">
      <alignment horizontal="center" vertical="center"/>
    </xf>
    <xf numFmtId="49" fontId="35" fillId="0" borderId="66" xfId="0" applyNumberFormat="1" applyFont="1" applyBorder="1" applyAlignment="1">
      <alignment horizontal="center" vertical="center"/>
    </xf>
    <xf numFmtId="49" fontId="37" fillId="0" borderId="23" xfId="0" applyNumberFormat="1" applyFont="1" applyBorder="1" applyAlignment="1">
      <alignment horizontal="center" vertical="center"/>
    </xf>
    <xf numFmtId="49" fontId="37" fillId="0" borderId="27" xfId="0" applyNumberFormat="1" applyFont="1" applyBorder="1" applyAlignment="1">
      <alignment horizontal="center" vertical="center"/>
    </xf>
    <xf numFmtId="0" fontId="37" fillId="9" borderId="27" xfId="0" applyFont="1" applyFill="1" applyBorder="1" applyAlignment="1">
      <alignment horizontal="center" vertical="center"/>
    </xf>
    <xf numFmtId="0" fontId="37" fillId="9" borderId="21" xfId="0" applyFont="1" applyFill="1" applyBorder="1" applyAlignment="1">
      <alignment horizontal="center" vertical="center"/>
    </xf>
    <xf numFmtId="0" fontId="28" fillId="7" borderId="17" xfId="0" applyFont="1" applyFill="1" applyBorder="1" applyAlignment="1">
      <alignment horizontal="center" vertical="center"/>
    </xf>
    <xf numFmtId="1" fontId="11" fillId="0" borderId="44" xfId="0" applyNumberFormat="1" applyFont="1" applyBorder="1" applyAlignment="1">
      <alignment horizontal="center" vertical="center"/>
    </xf>
    <xf numFmtId="0" fontId="35" fillId="0" borderId="30" xfId="0" applyFont="1" applyBorder="1" applyAlignment="1">
      <alignment horizontal="center" vertical="center"/>
    </xf>
    <xf numFmtId="49" fontId="37" fillId="9" borderId="23" xfId="0" applyNumberFormat="1" applyFont="1" applyFill="1" applyBorder="1" applyAlignment="1">
      <alignment horizontal="center" vertical="center"/>
    </xf>
    <xf numFmtId="0" fontId="37" fillId="9" borderId="17" xfId="0" applyFont="1" applyFill="1" applyBorder="1" applyAlignment="1">
      <alignment horizontal="center" vertical="center"/>
    </xf>
    <xf numFmtId="49" fontId="35" fillId="0" borderId="75" xfId="0" applyNumberFormat="1" applyFont="1" applyBorder="1" applyAlignment="1">
      <alignment horizontal="center" vertical="center"/>
    </xf>
    <xf numFmtId="49" fontId="37" fillId="0" borderId="50" xfId="0" applyNumberFormat="1" applyFont="1" applyBorder="1" applyAlignment="1">
      <alignment horizontal="center" vertical="center"/>
    </xf>
    <xf numFmtId="0" fontId="37" fillId="0" borderId="65" xfId="0" applyFont="1" applyBorder="1" applyAlignment="1">
      <alignment horizontal="center" vertical="center"/>
    </xf>
    <xf numFmtId="0" fontId="37" fillId="0" borderId="68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0" fontId="34" fillId="4" borderId="59" xfId="0" applyFont="1" applyFill="1" applyBorder="1" applyAlignment="1">
      <alignment horizontal="center" vertical="center"/>
    </xf>
    <xf numFmtId="0" fontId="34" fillId="4" borderId="9" xfId="0" applyFont="1" applyFill="1" applyBorder="1" applyAlignment="1">
      <alignment horizontal="center" vertical="center"/>
    </xf>
    <xf numFmtId="0" fontId="43" fillId="4" borderId="9" xfId="0" applyFont="1" applyFill="1" applyBorder="1" applyAlignment="1">
      <alignment horizontal="center" vertical="center"/>
    </xf>
    <xf numFmtId="0" fontId="43" fillId="4" borderId="22" xfId="0" applyFont="1" applyFill="1" applyBorder="1" applyAlignment="1">
      <alignment horizontal="center" vertical="center"/>
    </xf>
    <xf numFmtId="0" fontId="39" fillId="4" borderId="9" xfId="0" applyFont="1" applyFill="1" applyBorder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0" fontId="35" fillId="0" borderId="44" xfId="0" applyFont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35" fillId="0" borderId="38" xfId="0" applyFont="1" applyBorder="1" applyAlignment="1">
      <alignment horizontal="center" vertical="center"/>
    </xf>
    <xf numFmtId="0" fontId="35" fillId="0" borderId="84" xfId="0" applyFont="1" applyBorder="1" applyAlignment="1">
      <alignment horizontal="center" vertical="center"/>
    </xf>
    <xf numFmtId="49" fontId="37" fillId="9" borderId="17" xfId="0" applyNumberFormat="1" applyFont="1" applyFill="1" applyBorder="1" applyAlignment="1">
      <alignment horizontal="center" vertical="center"/>
    </xf>
    <xf numFmtId="0" fontId="37" fillId="0" borderId="62" xfId="0" applyFont="1" applyBorder="1" applyAlignment="1">
      <alignment horizontal="center" vertical="center"/>
    </xf>
    <xf numFmtId="49" fontId="36" fillId="0" borderId="17" xfId="0" applyNumberFormat="1" applyFont="1" applyBorder="1" applyAlignment="1">
      <alignment horizontal="center" vertical="center"/>
    </xf>
    <xf numFmtId="0" fontId="37" fillId="0" borderId="47" xfId="0" applyFont="1" applyBorder="1" applyAlignment="1">
      <alignment horizontal="center" vertical="center"/>
    </xf>
    <xf numFmtId="49" fontId="35" fillId="0" borderId="37" xfId="0" applyNumberFormat="1" applyFont="1" applyBorder="1" applyAlignment="1">
      <alignment horizontal="center" vertical="center"/>
    </xf>
    <xf numFmtId="0" fontId="35" fillId="0" borderId="46" xfId="0" applyFont="1" applyBorder="1" applyAlignment="1">
      <alignment horizontal="center" vertical="center"/>
    </xf>
    <xf numFmtId="49" fontId="37" fillId="9" borderId="27" xfId="0" applyNumberFormat="1" applyFont="1" applyFill="1" applyBorder="1" applyAlignment="1">
      <alignment horizontal="center" vertical="center"/>
    </xf>
    <xf numFmtId="49" fontId="36" fillId="0" borderId="23" xfId="0" applyNumberFormat="1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49" fontId="37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36" fillId="0" borderId="14" xfId="0" applyNumberFormat="1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49" fontId="37" fillId="0" borderId="80" xfId="0" applyNumberFormat="1" applyFont="1" applyBorder="1" applyAlignment="1">
      <alignment horizontal="center" vertical="center"/>
    </xf>
    <xf numFmtId="0" fontId="34" fillId="4" borderId="22" xfId="0" applyFont="1" applyFill="1" applyBorder="1" applyAlignment="1">
      <alignment horizontal="center" vertical="center"/>
    </xf>
    <xf numFmtId="0" fontId="43" fillId="4" borderId="59" xfId="0" applyFont="1" applyFill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37" fillId="9" borderId="11" xfId="0" applyFont="1" applyFill="1" applyBorder="1" applyAlignment="1">
      <alignment horizontal="center" vertical="center"/>
    </xf>
    <xf numFmtId="49" fontId="37" fillId="9" borderId="12" xfId="0" applyNumberFormat="1" applyFont="1" applyFill="1" applyBorder="1" applyAlignment="1">
      <alignment horizontal="center" vertical="center"/>
    </xf>
    <xf numFmtId="49" fontId="35" fillId="0" borderId="52" xfId="0" applyNumberFormat="1" applyFont="1" applyBorder="1" applyAlignment="1">
      <alignment horizontal="center" vertical="center"/>
    </xf>
    <xf numFmtId="0" fontId="28" fillId="7" borderId="89" xfId="0" applyFont="1" applyFill="1" applyBorder="1" applyAlignment="1">
      <alignment horizontal="center" vertical="center"/>
    </xf>
    <xf numFmtId="49" fontId="37" fillId="0" borderId="63" xfId="0" applyNumberFormat="1" applyFont="1" applyBorder="1" applyAlignment="1">
      <alignment horizontal="center" vertical="center"/>
    </xf>
    <xf numFmtId="49" fontId="37" fillId="0" borderId="29" xfId="0" applyNumberFormat="1" applyFont="1" applyBorder="1" applyAlignment="1">
      <alignment horizontal="center" vertical="center"/>
    </xf>
    <xf numFmtId="49" fontId="36" fillId="0" borderId="0" xfId="0" applyNumberFormat="1" applyFont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49" fontId="37" fillId="0" borderId="16" xfId="0" applyNumberFormat="1" applyFont="1" applyBorder="1" applyAlignment="1">
      <alignment horizontal="center" vertical="center"/>
    </xf>
    <xf numFmtId="1" fontId="11" fillId="0" borderId="39" xfId="0" applyNumberFormat="1" applyFont="1" applyBorder="1" applyAlignment="1">
      <alignment horizontal="center" vertical="center"/>
    </xf>
    <xf numFmtId="0" fontId="28" fillId="7" borderId="15" xfId="0" applyFont="1" applyFill="1" applyBorder="1" applyAlignment="1">
      <alignment horizontal="center" vertical="center"/>
    </xf>
    <xf numFmtId="49" fontId="37" fillId="9" borderId="53" xfId="0" applyNumberFormat="1" applyFont="1" applyFill="1" applyBorder="1" applyAlignment="1">
      <alignment horizontal="center" vertical="center"/>
    </xf>
    <xf numFmtId="49" fontId="26" fillId="9" borderId="71" xfId="0" applyNumberFormat="1" applyFont="1" applyFill="1" applyBorder="1" applyAlignment="1">
      <alignment horizontal="center" vertical="center"/>
    </xf>
    <xf numFmtId="49" fontId="36" fillId="0" borderId="45" xfId="0" applyNumberFormat="1" applyFont="1" applyBorder="1" applyAlignment="1">
      <alignment horizontal="center" vertical="center"/>
    </xf>
    <xf numFmtId="49" fontId="37" fillId="0" borderId="21" xfId="0" applyNumberFormat="1" applyFont="1" applyBorder="1" applyAlignment="1">
      <alignment horizontal="center" vertical="center"/>
    </xf>
    <xf numFmtId="49" fontId="37" fillId="0" borderId="20" xfId="0" applyNumberFormat="1" applyFont="1" applyBorder="1" applyAlignment="1">
      <alignment horizontal="center" vertical="center"/>
    </xf>
    <xf numFmtId="0" fontId="35" fillId="0" borderId="48" xfId="0" applyFont="1" applyBorder="1" applyAlignment="1">
      <alignment horizontal="center" vertical="center"/>
    </xf>
    <xf numFmtId="49" fontId="37" fillId="0" borderId="37" xfId="0" applyNumberFormat="1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49" fontId="37" fillId="9" borderId="50" xfId="0" applyNumberFormat="1" applyFont="1" applyFill="1" applyBorder="1" applyAlignment="1">
      <alignment horizontal="center" vertical="center"/>
    </xf>
    <xf numFmtId="0" fontId="39" fillId="4" borderId="59" xfId="0" applyFont="1" applyFill="1" applyBorder="1" applyAlignment="1">
      <alignment horizontal="center" vertical="center"/>
    </xf>
    <xf numFmtId="49" fontId="37" fillId="0" borderId="12" xfId="0" applyNumberFormat="1" applyFont="1" applyBorder="1" applyAlignment="1">
      <alignment horizontal="center" vertical="center"/>
    </xf>
    <xf numFmtId="49" fontId="26" fillId="0" borderId="93" xfId="0" applyNumberFormat="1" applyFont="1" applyBorder="1" applyAlignment="1">
      <alignment horizontal="center" vertical="center"/>
    </xf>
    <xf numFmtId="0" fontId="35" fillId="0" borderId="70" xfId="0" applyFont="1" applyBorder="1" applyAlignment="1">
      <alignment horizontal="center" vertical="center"/>
    </xf>
    <xf numFmtId="0" fontId="35" fillId="0" borderId="29" xfId="0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32" fillId="0" borderId="0" xfId="0" quotePrefix="1" applyFont="1" applyAlignment="1">
      <alignment horizontal="center" vertical="center"/>
    </xf>
    <xf numFmtId="49" fontId="36" fillId="0" borderId="12" xfId="0" applyNumberFormat="1" applyFont="1" applyBorder="1" applyAlignment="1">
      <alignment horizontal="center" vertical="center"/>
    </xf>
    <xf numFmtId="0" fontId="21" fillId="0" borderId="28" xfId="0" applyFont="1" applyBorder="1" applyAlignment="1">
      <alignment horizontal="center" vertical="center"/>
    </xf>
    <xf numFmtId="0" fontId="39" fillId="4" borderId="22" xfId="0" applyFont="1" applyFill="1" applyBorder="1" applyAlignment="1">
      <alignment horizontal="center" vertical="center"/>
    </xf>
    <xf numFmtId="49" fontId="29" fillId="0" borderId="78" xfId="0" applyNumberFormat="1" applyFont="1" applyBorder="1" applyAlignment="1">
      <alignment horizontal="center" vertical="center"/>
    </xf>
    <xf numFmtId="176" fontId="32" fillId="0" borderId="0" xfId="0" applyNumberFormat="1" applyFont="1" applyAlignment="1">
      <alignment horizontal="center" vertical="center"/>
    </xf>
    <xf numFmtId="0" fontId="37" fillId="9" borderId="14" xfId="0" applyFont="1" applyFill="1" applyBorder="1" applyAlignment="1">
      <alignment horizontal="center" vertical="center"/>
    </xf>
    <xf numFmtId="49" fontId="37" fillId="0" borderId="89" xfId="0" applyNumberFormat="1" applyFont="1" applyBorder="1" applyAlignment="1">
      <alignment horizontal="center" vertical="center"/>
    </xf>
    <xf numFmtId="49" fontId="36" fillId="0" borderId="99" xfId="0" applyNumberFormat="1" applyFont="1" applyBorder="1" applyAlignment="1">
      <alignment horizontal="center" vertical="center"/>
    </xf>
    <xf numFmtId="49" fontId="35" fillId="0" borderId="25" xfId="0" applyNumberFormat="1" applyFont="1" applyBorder="1" applyAlignment="1">
      <alignment horizontal="center" vertical="center"/>
    </xf>
    <xf numFmtId="49" fontId="36" fillId="0" borderId="27" xfId="0" applyNumberFormat="1" applyFont="1" applyBorder="1" applyAlignment="1">
      <alignment horizontal="center" vertical="center"/>
    </xf>
    <xf numFmtId="0" fontId="35" fillId="12" borderId="12" xfId="0" applyFont="1" applyFill="1" applyBorder="1" applyAlignment="1">
      <alignment horizontal="center" vertical="center"/>
    </xf>
    <xf numFmtId="0" fontId="35" fillId="12" borderId="66" xfId="0" applyFont="1" applyFill="1" applyBorder="1" applyAlignment="1">
      <alignment horizontal="center" vertical="center"/>
    </xf>
    <xf numFmtId="0" fontId="4" fillId="4" borderId="59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center" vertical="center"/>
    </xf>
    <xf numFmtId="49" fontId="35" fillId="12" borderId="12" xfId="0" applyNumberFormat="1" applyFont="1" applyFill="1" applyBorder="1" applyAlignment="1">
      <alignment horizontal="center" vertical="center"/>
    </xf>
    <xf numFmtId="0" fontId="35" fillId="12" borderId="15" xfId="0" applyFont="1" applyFill="1" applyBorder="1" applyAlignment="1">
      <alignment horizontal="center" vertical="center"/>
    </xf>
    <xf numFmtId="49" fontId="37" fillId="0" borderId="11" xfId="0" applyNumberFormat="1" applyFont="1" applyBorder="1" applyAlignment="1">
      <alignment horizontal="center" vertical="center"/>
    </xf>
    <xf numFmtId="49" fontId="30" fillId="0" borderId="15" xfId="0" applyNumberFormat="1" applyFont="1" applyBorder="1" applyAlignment="1">
      <alignment horizontal="center" vertical="center"/>
    </xf>
    <xf numFmtId="0" fontId="37" fillId="0" borderId="14" xfId="0" applyFont="1" applyBorder="1" applyAlignment="1">
      <alignment horizontal="center" vertical="center"/>
    </xf>
    <xf numFmtId="49" fontId="35" fillId="0" borderId="19" xfId="0" applyNumberFormat="1" applyFont="1" applyBorder="1" applyAlignment="1">
      <alignment horizontal="center" vertical="center"/>
    </xf>
    <xf numFmtId="1" fontId="21" fillId="5" borderId="39" xfId="0" applyNumberFormat="1" applyFont="1" applyFill="1" applyBorder="1" applyAlignment="1">
      <alignment horizontal="center" vertical="center"/>
    </xf>
    <xf numFmtId="49" fontId="35" fillId="0" borderId="61" xfId="0" applyNumberFormat="1" applyFont="1" applyBorder="1" applyAlignment="1">
      <alignment horizontal="center" vertical="center"/>
    </xf>
    <xf numFmtId="0" fontId="30" fillId="0" borderId="23" xfId="0" applyFont="1" applyBorder="1" applyAlignment="1">
      <alignment horizontal="center" vertical="center"/>
    </xf>
    <xf numFmtId="49" fontId="26" fillId="0" borderId="23" xfId="0" applyNumberFormat="1" applyFont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49" fontId="30" fillId="0" borderId="27" xfId="0" applyNumberFormat="1" applyFont="1" applyBorder="1" applyAlignment="1">
      <alignment horizontal="center" vertical="center"/>
    </xf>
    <xf numFmtId="1" fontId="11" fillId="0" borderId="48" xfId="0" applyNumberFormat="1" applyFont="1" applyBorder="1" applyAlignment="1">
      <alignment horizontal="center" vertical="center"/>
    </xf>
    <xf numFmtId="1" fontId="11" fillId="0" borderId="37" xfId="0" applyNumberFormat="1" applyFont="1" applyBorder="1" applyAlignment="1">
      <alignment horizontal="center" vertical="center"/>
    </xf>
    <xf numFmtId="49" fontId="35" fillId="0" borderId="113" xfId="0" applyNumberFormat="1" applyFont="1" applyBorder="1" applyAlignment="1">
      <alignment horizontal="center" vertical="center"/>
    </xf>
    <xf numFmtId="49" fontId="35" fillId="0" borderId="114" xfId="0" applyNumberFormat="1" applyFont="1" applyBorder="1" applyAlignment="1">
      <alignment horizontal="center" vertical="center"/>
    </xf>
    <xf numFmtId="49" fontId="35" fillId="0" borderId="115" xfId="0" applyNumberFormat="1" applyFont="1" applyBorder="1" applyAlignment="1">
      <alignment horizontal="center" vertical="center"/>
    </xf>
    <xf numFmtId="0" fontId="37" fillId="0" borderId="117" xfId="0" applyFont="1" applyBorder="1" applyAlignment="1">
      <alignment horizontal="center" vertical="center"/>
    </xf>
    <xf numFmtId="0" fontId="37" fillId="0" borderId="116" xfId="0" applyFont="1" applyBorder="1" applyAlignment="1">
      <alignment horizontal="center" vertical="center"/>
    </xf>
    <xf numFmtId="49" fontId="35" fillId="0" borderId="118" xfId="0" applyNumberFormat="1" applyFont="1" applyBorder="1" applyAlignment="1">
      <alignment horizontal="center" vertical="center"/>
    </xf>
    <xf numFmtId="49" fontId="35" fillId="0" borderId="31" xfId="0" applyNumberFormat="1" applyFont="1" applyBorder="1" applyAlignment="1">
      <alignment horizontal="center" vertical="center"/>
    </xf>
    <xf numFmtId="49" fontId="26" fillId="0" borderId="31" xfId="0" applyNumberFormat="1" applyFont="1" applyBorder="1" applyAlignment="1">
      <alignment horizontal="center" vertical="center"/>
    </xf>
    <xf numFmtId="49" fontId="36" fillId="0" borderId="31" xfId="0" applyNumberFormat="1" applyFont="1" applyBorder="1" applyAlignment="1">
      <alignment horizontal="center" vertical="center"/>
    </xf>
    <xf numFmtId="0" fontId="35" fillId="0" borderId="119" xfId="0" applyFont="1" applyBorder="1" applyAlignment="1">
      <alignment horizontal="center" vertical="center"/>
    </xf>
    <xf numFmtId="0" fontId="37" fillId="0" borderId="66" xfId="0" applyFont="1" applyBorder="1" applyAlignment="1">
      <alignment horizontal="center" vertical="center"/>
    </xf>
    <xf numFmtId="49" fontId="35" fillId="0" borderId="116" xfId="0" applyNumberFormat="1" applyFont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49" fontId="35" fillId="0" borderId="119" xfId="0" applyNumberFormat="1" applyFont="1" applyBorder="1" applyAlignment="1">
      <alignment horizontal="center" vertical="center"/>
    </xf>
    <xf numFmtId="49" fontId="37" fillId="0" borderId="114" xfId="0" applyNumberFormat="1" applyFont="1" applyBorder="1" applyAlignment="1">
      <alignment horizontal="center" vertical="center"/>
    </xf>
    <xf numFmtId="49" fontId="35" fillId="0" borderId="117" xfId="0" applyNumberFormat="1" applyFont="1" applyBorder="1" applyAlignment="1">
      <alignment horizontal="center" vertical="center"/>
    </xf>
    <xf numFmtId="0" fontId="35" fillId="0" borderId="116" xfId="0" applyFont="1" applyBorder="1" applyAlignment="1">
      <alignment horizontal="center" vertical="center"/>
    </xf>
    <xf numFmtId="0" fontId="35" fillId="0" borderId="106" xfId="0" applyFont="1" applyBorder="1" applyAlignment="1">
      <alignment horizontal="center" vertical="center"/>
    </xf>
    <xf numFmtId="0" fontId="35" fillId="0" borderId="115" xfId="0" applyFont="1" applyBorder="1" applyAlignment="1">
      <alignment horizontal="center" vertical="center"/>
    </xf>
    <xf numFmtId="0" fontId="37" fillId="0" borderId="119" xfId="0" applyFont="1" applyBorder="1" applyAlignment="1">
      <alignment horizontal="center" vertical="center"/>
    </xf>
    <xf numFmtId="0" fontId="37" fillId="9" borderId="114" xfId="0" applyFont="1" applyFill="1" applyBorder="1" applyAlignment="1">
      <alignment horizontal="center" vertical="center"/>
    </xf>
    <xf numFmtId="49" fontId="35" fillId="0" borderId="9" xfId="0" applyNumberFormat="1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/>
    </xf>
    <xf numFmtId="1" fontId="21" fillId="5" borderId="2" xfId="0" applyNumberFormat="1" applyFont="1" applyFill="1" applyBorder="1" applyAlignment="1">
      <alignment horizontal="center" vertical="center"/>
    </xf>
    <xf numFmtId="1" fontId="13" fillId="4" borderId="2" xfId="0" applyNumberFormat="1" applyFont="1" applyFill="1" applyBorder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49" fontId="37" fillId="0" borderId="9" xfId="0" applyNumberFormat="1" applyFont="1" applyBorder="1" applyAlignment="1">
      <alignment horizontal="center" vertical="center"/>
    </xf>
    <xf numFmtId="0" fontId="15" fillId="0" borderId="57" xfId="0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49" fontId="38" fillId="0" borderId="0" xfId="0" applyNumberFormat="1" applyFont="1" applyAlignment="1">
      <alignment horizontal="center" vertical="center"/>
    </xf>
    <xf numFmtId="0" fontId="23" fillId="0" borderId="0" xfId="1" applyFont="1" applyFill="1" applyBorder="1" applyAlignment="1">
      <alignment horizontal="center" vertical="center" wrapText="1"/>
    </xf>
    <xf numFmtId="0" fontId="23" fillId="0" borderId="13" xfId="1" applyFont="1" applyFill="1" applyBorder="1" applyAlignment="1">
      <alignment horizontal="center" vertical="center" wrapText="1"/>
    </xf>
    <xf numFmtId="49" fontId="30" fillId="0" borderId="0" xfId="0" applyNumberFormat="1" applyFont="1" applyAlignment="1">
      <alignment horizontal="center" vertical="center"/>
    </xf>
    <xf numFmtId="0" fontId="50" fillId="0" borderId="0" xfId="1" applyFont="1" applyFill="1" applyBorder="1" applyAlignment="1">
      <alignment horizontal="center" vertical="center" wrapText="1"/>
    </xf>
    <xf numFmtId="0" fontId="38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9" fontId="17" fillId="0" borderId="0" xfId="0" applyNumberFormat="1" applyFont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0" fontId="43" fillId="5" borderId="59" xfId="0" applyFont="1" applyFill="1" applyBorder="1" applyAlignment="1">
      <alignment horizontal="center" vertical="center"/>
    </xf>
    <xf numFmtId="0" fontId="34" fillId="5" borderId="22" xfId="0" applyFont="1" applyFill="1" applyBorder="1" applyAlignment="1">
      <alignment horizontal="center" vertical="center"/>
    </xf>
    <xf numFmtId="0" fontId="34" fillId="5" borderId="59" xfId="0" applyFont="1" applyFill="1" applyBorder="1" applyAlignment="1">
      <alignment horizontal="center" vertical="center"/>
    </xf>
    <xf numFmtId="0" fontId="37" fillId="0" borderId="114" xfId="0" applyFont="1" applyBorder="1" applyAlignment="1">
      <alignment horizontal="center" vertical="center"/>
    </xf>
    <xf numFmtId="49" fontId="37" fillId="9" borderId="117" xfId="0" applyNumberFormat="1" applyFont="1" applyFill="1" applyBorder="1" applyAlignment="1">
      <alignment horizontal="center" vertical="center"/>
    </xf>
    <xf numFmtId="0" fontId="35" fillId="0" borderId="117" xfId="0" applyFont="1" applyBorder="1" applyAlignment="1">
      <alignment horizontal="center" vertical="center"/>
    </xf>
    <xf numFmtId="49" fontId="36" fillId="0" borderId="118" xfId="0" applyNumberFormat="1" applyFont="1" applyBorder="1" applyAlignment="1">
      <alignment horizontal="center" vertical="center"/>
    </xf>
    <xf numFmtId="49" fontId="37" fillId="0" borderId="119" xfId="0" applyNumberFormat="1" applyFont="1" applyBorder="1" applyAlignment="1">
      <alignment horizontal="center" vertical="center"/>
    </xf>
    <xf numFmtId="49" fontId="37" fillId="0" borderId="115" xfId="0" applyNumberFormat="1" applyFont="1" applyBorder="1" applyAlignment="1">
      <alignment horizontal="center" vertical="center"/>
    </xf>
    <xf numFmtId="49" fontId="35" fillId="0" borderId="125" xfId="0" applyNumberFormat="1" applyFont="1" applyBorder="1" applyAlignment="1">
      <alignment horizontal="center" vertical="center"/>
    </xf>
    <xf numFmtId="49" fontId="37" fillId="0" borderId="117" xfId="0" applyNumberFormat="1" applyFont="1" applyBorder="1" applyAlignment="1">
      <alignment horizontal="center" vertical="center"/>
    </xf>
    <xf numFmtId="49" fontId="37" fillId="0" borderId="66" xfId="0" applyNumberFormat="1" applyFont="1" applyBorder="1" applyAlignment="1">
      <alignment horizontal="center" vertical="center"/>
    </xf>
    <xf numFmtId="49" fontId="37" fillId="0" borderId="116" xfId="0" applyNumberFormat="1" applyFont="1" applyBorder="1" applyAlignment="1">
      <alignment horizontal="center" vertical="center"/>
    </xf>
    <xf numFmtId="0" fontId="35" fillId="0" borderId="31" xfId="0" applyFont="1" applyBorder="1" applyAlignment="1">
      <alignment horizontal="center" vertical="center"/>
    </xf>
    <xf numFmtId="0" fontId="30" fillId="0" borderId="114" xfId="0" applyFont="1" applyBorder="1" applyAlignment="1">
      <alignment horizontal="center" vertical="center"/>
    </xf>
    <xf numFmtId="0" fontId="35" fillId="0" borderId="114" xfId="0" applyFont="1" applyBorder="1" applyAlignment="1">
      <alignment horizontal="center" vertical="center"/>
    </xf>
    <xf numFmtId="49" fontId="36" fillId="0" borderId="114" xfId="0" applyNumberFormat="1" applyFont="1" applyBorder="1" applyAlignment="1">
      <alignment horizontal="center" vertical="center"/>
    </xf>
    <xf numFmtId="0" fontId="37" fillId="0" borderId="115" xfId="0" applyFont="1" applyBorder="1" applyAlignment="1">
      <alignment horizontal="center" vertical="center"/>
    </xf>
    <xf numFmtId="49" fontId="35" fillId="0" borderId="126" xfId="0" applyNumberFormat="1" applyFont="1" applyBorder="1" applyAlignment="1">
      <alignment horizontal="center" vertical="center"/>
    </xf>
    <xf numFmtId="0" fontId="36" fillId="0" borderId="31" xfId="0" applyFont="1" applyBorder="1" applyAlignment="1">
      <alignment horizontal="center" vertical="center"/>
    </xf>
    <xf numFmtId="0" fontId="28" fillId="7" borderId="115" xfId="0" applyFont="1" applyFill="1" applyBorder="1" applyAlignment="1">
      <alignment horizontal="center" vertical="center"/>
    </xf>
    <xf numFmtId="0" fontId="37" fillId="0" borderId="118" xfId="0" applyFont="1" applyBorder="1" applyAlignment="1">
      <alignment horizontal="center" vertical="center"/>
    </xf>
    <xf numFmtId="0" fontId="35" fillId="0" borderId="127" xfId="0" applyFont="1" applyBorder="1" applyAlignment="1">
      <alignment horizontal="center" vertical="center"/>
    </xf>
    <xf numFmtId="0" fontId="35" fillId="0" borderId="128" xfId="0" applyFont="1" applyBorder="1" applyAlignment="1">
      <alignment horizontal="center" vertical="center"/>
    </xf>
    <xf numFmtId="49" fontId="42" fillId="0" borderId="9" xfId="0" applyNumberFormat="1" applyFont="1" applyBorder="1" applyAlignment="1">
      <alignment horizontal="center" vertical="center"/>
    </xf>
    <xf numFmtId="49" fontId="37" fillId="9" borderId="116" xfId="0" applyNumberFormat="1" applyFont="1" applyFill="1" applyBorder="1" applyAlignment="1">
      <alignment horizontal="center" vertical="center"/>
    </xf>
    <xf numFmtId="49" fontId="37" fillId="0" borderId="31" xfId="0" applyNumberFormat="1" applyFont="1" applyBorder="1" applyAlignment="1">
      <alignment horizontal="center" vertical="center"/>
    </xf>
    <xf numFmtId="49" fontId="35" fillId="0" borderId="65" xfId="0" applyNumberFormat="1" applyFont="1" applyBorder="1" applyAlignment="1">
      <alignment horizontal="center" vertical="center"/>
    </xf>
    <xf numFmtId="49" fontId="35" fillId="0" borderId="51" xfId="0" applyNumberFormat="1" applyFont="1" applyBorder="1" applyAlignment="1">
      <alignment horizontal="center" vertical="center"/>
    </xf>
    <xf numFmtId="1" fontId="21" fillId="5" borderId="57" xfId="0" applyNumberFormat="1" applyFont="1" applyFill="1" applyBorder="1" applyAlignment="1">
      <alignment horizontal="center" vertical="center"/>
    </xf>
    <xf numFmtId="0" fontId="43" fillId="5" borderId="22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7" fillId="0" borderId="20" xfId="0" applyFont="1" applyBorder="1" applyAlignment="1">
      <alignment horizontal="center" vertical="center"/>
    </xf>
    <xf numFmtId="0" fontId="35" fillId="0" borderId="118" xfId="0" applyFont="1" applyBorder="1" applyAlignment="1">
      <alignment horizontal="center" vertical="center"/>
    </xf>
    <xf numFmtId="49" fontId="35" fillId="0" borderId="42" xfId="0" applyNumberFormat="1" applyFont="1" applyBorder="1" applyAlignment="1">
      <alignment horizontal="center" vertical="center"/>
    </xf>
    <xf numFmtId="49" fontId="29" fillId="0" borderId="129" xfId="0" applyNumberFormat="1" applyFont="1" applyBorder="1" applyAlignment="1">
      <alignment horizontal="center" vertical="center"/>
    </xf>
    <xf numFmtId="49" fontId="36" fillId="0" borderId="42" xfId="0" applyNumberFormat="1" applyFont="1" applyBorder="1" applyAlignment="1">
      <alignment horizontal="center" vertical="center"/>
    </xf>
    <xf numFmtId="0" fontId="11" fillId="3" borderId="28" xfId="0" quotePrefix="1" applyFont="1" applyFill="1" applyBorder="1" applyAlignment="1">
      <alignment horizontal="center" vertical="center"/>
    </xf>
    <xf numFmtId="0" fontId="28" fillId="8" borderId="17" xfId="0" applyFont="1" applyFill="1" applyBorder="1" applyAlignment="1">
      <alignment horizontal="center" vertical="center"/>
    </xf>
    <xf numFmtId="0" fontId="39" fillId="5" borderId="59" xfId="0" applyFont="1" applyFill="1" applyBorder="1" applyAlignment="1">
      <alignment horizontal="center" vertical="center"/>
    </xf>
    <xf numFmtId="0" fontId="35" fillId="0" borderId="85" xfId="0" applyFont="1" applyBorder="1" applyAlignment="1">
      <alignment horizontal="center" vertical="center"/>
    </xf>
    <xf numFmtId="0" fontId="35" fillId="0" borderId="51" xfId="0" applyFont="1" applyBorder="1" applyAlignment="1">
      <alignment horizontal="center" vertical="center"/>
    </xf>
    <xf numFmtId="49" fontId="37" fillId="9" borderId="114" xfId="0" applyNumberFormat="1" applyFont="1" applyFill="1" applyBorder="1" applyAlignment="1">
      <alignment horizontal="center" vertical="center"/>
    </xf>
    <xf numFmtId="0" fontId="35" fillId="0" borderId="125" xfId="0" applyFont="1" applyBorder="1" applyAlignment="1">
      <alignment horizontal="center" vertical="center"/>
    </xf>
    <xf numFmtId="49" fontId="29" fillId="0" borderId="143" xfId="0" applyNumberFormat="1" applyFont="1" applyBorder="1" applyAlignment="1">
      <alignment horizontal="center" vertical="center"/>
    </xf>
    <xf numFmtId="0" fontId="23" fillId="0" borderId="10" xfId="1" applyFont="1" applyFill="1" applyBorder="1" applyAlignment="1">
      <alignment horizontal="center" vertical="center" wrapText="1"/>
    </xf>
    <xf numFmtId="0" fontId="35" fillId="0" borderId="41" xfId="0" applyFont="1" applyBorder="1" applyAlignment="1">
      <alignment horizontal="center" vertical="center"/>
    </xf>
    <xf numFmtId="0" fontId="36" fillId="0" borderId="66" xfId="0" applyFont="1" applyBorder="1" applyAlignment="1">
      <alignment horizontal="center" vertical="center"/>
    </xf>
    <xf numFmtId="0" fontId="37" fillId="9" borderId="115" xfId="0" applyFont="1" applyFill="1" applyBorder="1" applyAlignment="1">
      <alignment horizontal="center" vertical="center"/>
    </xf>
    <xf numFmtId="0" fontId="35" fillId="0" borderId="42" xfId="0" applyFont="1" applyBorder="1" applyAlignment="1">
      <alignment horizontal="center" vertical="center"/>
    </xf>
    <xf numFmtId="49" fontId="36" fillId="0" borderId="66" xfId="0" applyNumberFormat="1" applyFont="1" applyBorder="1" applyAlignment="1">
      <alignment horizontal="center" vertical="center"/>
    </xf>
    <xf numFmtId="49" fontId="35" fillId="0" borderId="48" xfId="0" applyNumberFormat="1" applyFont="1" applyBorder="1" applyAlignment="1">
      <alignment horizontal="center" vertical="center"/>
    </xf>
    <xf numFmtId="49" fontId="37" fillId="0" borderId="41" xfId="0" applyNumberFormat="1" applyFont="1" applyBorder="1" applyAlignment="1">
      <alignment horizontal="center" vertical="center"/>
    </xf>
    <xf numFmtId="49" fontId="35" fillId="0" borderId="90" xfId="0" applyNumberFormat="1" applyFont="1" applyBorder="1" applyAlignment="1">
      <alignment horizontal="center" vertical="center"/>
    </xf>
    <xf numFmtId="49" fontId="37" fillId="9" borderId="119" xfId="0" applyNumberFormat="1" applyFont="1" applyFill="1" applyBorder="1" applyAlignment="1">
      <alignment horizontal="center" vertical="center"/>
    </xf>
    <xf numFmtId="0" fontId="35" fillId="0" borderId="52" xfId="0" applyFont="1" applyBorder="1" applyAlignment="1">
      <alignment horizontal="center" vertical="center"/>
    </xf>
    <xf numFmtId="49" fontId="37" fillId="9" borderId="115" xfId="0" applyNumberFormat="1" applyFont="1" applyFill="1" applyBorder="1" applyAlignment="1">
      <alignment horizontal="center" vertical="center"/>
    </xf>
    <xf numFmtId="49" fontId="35" fillId="0" borderId="30" xfId="0" applyNumberFormat="1" applyFont="1" applyBorder="1" applyAlignment="1">
      <alignment horizontal="center" vertical="center"/>
    </xf>
    <xf numFmtId="49" fontId="29" fillId="0" borderId="148" xfId="0" applyNumberFormat="1" applyFont="1" applyBorder="1" applyAlignment="1">
      <alignment horizontal="center" vertical="center"/>
    </xf>
    <xf numFmtId="0" fontId="35" fillId="0" borderId="149" xfId="0" applyFont="1" applyBorder="1" applyAlignment="1">
      <alignment horizontal="center" vertical="center"/>
    </xf>
    <xf numFmtId="49" fontId="35" fillId="0" borderId="150" xfId="0" applyNumberFormat="1" applyFont="1" applyBorder="1" applyAlignment="1">
      <alignment horizontal="center" vertical="center"/>
    </xf>
    <xf numFmtId="1" fontId="11" fillId="0" borderId="38" xfId="0" applyNumberFormat="1" applyFont="1" applyBorder="1" applyAlignment="1">
      <alignment horizontal="center" vertical="center"/>
    </xf>
    <xf numFmtId="49" fontId="37" fillId="9" borderId="66" xfId="0" applyNumberFormat="1" applyFont="1" applyFill="1" applyBorder="1" applyAlignment="1">
      <alignment horizontal="center" vertical="center"/>
    </xf>
    <xf numFmtId="0" fontId="36" fillId="0" borderId="114" xfId="0" applyFont="1" applyBorder="1" applyAlignment="1">
      <alignment horizontal="center" vertical="center"/>
    </xf>
    <xf numFmtId="49" fontId="37" fillId="9" borderId="31" xfId="0" applyNumberFormat="1" applyFont="1" applyFill="1" applyBorder="1" applyAlignment="1">
      <alignment horizontal="center" vertical="center"/>
    </xf>
    <xf numFmtId="0" fontId="37" fillId="9" borderId="119" xfId="0" applyFont="1" applyFill="1" applyBorder="1" applyAlignment="1">
      <alignment horizontal="center" vertical="center"/>
    </xf>
    <xf numFmtId="49" fontId="29" fillId="0" borderId="80" xfId="0" applyNumberFormat="1" applyFont="1" applyBorder="1" applyAlignment="1">
      <alignment horizontal="center" vertical="center"/>
    </xf>
    <xf numFmtId="49" fontId="37" fillId="9" borderId="21" xfId="0" applyNumberFormat="1" applyFont="1" applyFill="1" applyBorder="1" applyAlignment="1">
      <alignment horizontal="center" vertical="center"/>
    </xf>
    <xf numFmtId="0" fontId="37" fillId="9" borderId="66" xfId="0" applyFont="1" applyFill="1" applyBorder="1" applyAlignment="1">
      <alignment horizontal="center" vertical="center"/>
    </xf>
    <xf numFmtId="0" fontId="23" fillId="0" borderId="33" xfId="1" applyFont="1" applyFill="1" applyBorder="1" applyAlignment="1">
      <alignment horizontal="center" vertical="center" wrapText="1"/>
    </xf>
    <xf numFmtId="0" fontId="23" fillId="0" borderId="40" xfId="1" applyFont="1" applyFill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/>
    </xf>
    <xf numFmtId="49" fontId="35" fillId="0" borderId="32" xfId="0" applyNumberFormat="1" applyFont="1" applyBorder="1" applyAlignment="1">
      <alignment horizontal="center" vertical="center"/>
    </xf>
    <xf numFmtId="0" fontId="37" fillId="9" borderId="116" xfId="0" applyFont="1" applyFill="1" applyBorder="1" applyAlignment="1">
      <alignment horizontal="center" vertical="center"/>
    </xf>
    <xf numFmtId="0" fontId="37" fillId="9" borderId="117" xfId="0" applyFont="1" applyFill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49" fontId="26" fillId="0" borderId="79" xfId="0" applyNumberFormat="1" applyFont="1" applyBorder="1" applyAlignment="1">
      <alignment horizontal="center" vertical="center"/>
    </xf>
    <xf numFmtId="0" fontId="37" fillId="9" borderId="31" xfId="0" applyFont="1" applyFill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1" fontId="13" fillId="4" borderId="10" xfId="0" quotePrefix="1" applyNumberFormat="1" applyFont="1" applyFill="1" applyBorder="1" applyAlignment="1">
      <alignment horizontal="center" vertical="center"/>
    </xf>
    <xf numFmtId="49" fontId="38" fillId="0" borderId="15" xfId="0" applyNumberFormat="1" applyFont="1" applyBorder="1" applyAlignment="1">
      <alignment horizontal="center" vertical="center"/>
    </xf>
    <xf numFmtId="49" fontId="38" fillId="0" borderId="17" xfId="0" applyNumberFormat="1" applyFont="1" applyBorder="1" applyAlignment="1">
      <alignment horizontal="center" vertical="center"/>
    </xf>
    <xf numFmtId="1" fontId="13" fillId="4" borderId="57" xfId="0" applyNumberFormat="1" applyFont="1" applyFill="1" applyBorder="1" applyAlignment="1">
      <alignment horizontal="center" vertical="center"/>
    </xf>
    <xf numFmtId="0" fontId="26" fillId="0" borderId="15" xfId="0" applyFont="1" applyBorder="1" applyAlignment="1">
      <alignment horizontal="center" vertical="center"/>
    </xf>
    <xf numFmtId="49" fontId="26" fillId="0" borderId="146" xfId="0" applyNumberFormat="1" applyFont="1" applyBorder="1" applyAlignment="1">
      <alignment horizontal="center" vertical="center"/>
    </xf>
    <xf numFmtId="49" fontId="37" fillId="0" borderId="19" xfId="0" applyNumberFormat="1" applyFont="1" applyBorder="1" applyAlignment="1">
      <alignment horizontal="center" vertical="center"/>
    </xf>
    <xf numFmtId="49" fontId="40" fillId="0" borderId="27" xfId="0" applyNumberFormat="1" applyFont="1" applyBorder="1" applyAlignment="1">
      <alignment horizontal="center" vertical="center"/>
    </xf>
    <xf numFmtId="0" fontId="35" fillId="0" borderId="83" xfId="0" applyFont="1" applyBorder="1" applyAlignment="1">
      <alignment horizontal="center" vertical="center"/>
    </xf>
    <xf numFmtId="0" fontId="26" fillId="0" borderId="66" xfId="0" applyFont="1" applyBorder="1" applyAlignment="1">
      <alignment horizontal="center" vertical="center"/>
    </xf>
    <xf numFmtId="0" fontId="30" fillId="0" borderId="66" xfId="0" applyFont="1" applyBorder="1" applyAlignment="1">
      <alignment horizontal="center" vertical="center"/>
    </xf>
    <xf numFmtId="49" fontId="35" fillId="0" borderId="141" xfId="0" applyNumberFormat="1" applyFont="1" applyBorder="1" applyAlignment="1">
      <alignment horizontal="center" vertical="center"/>
    </xf>
    <xf numFmtId="49" fontId="35" fillId="0" borderId="142" xfId="0" applyNumberFormat="1" applyFont="1" applyBorder="1" applyAlignment="1">
      <alignment horizontal="center" vertical="center"/>
    </xf>
    <xf numFmtId="49" fontId="35" fillId="0" borderId="155" xfId="0" applyNumberFormat="1" applyFont="1" applyBorder="1" applyAlignment="1">
      <alignment horizontal="center" vertical="center"/>
    </xf>
    <xf numFmtId="0" fontId="42" fillId="0" borderId="15" xfId="0" applyFont="1" applyBorder="1" applyAlignment="1">
      <alignment horizontal="center" vertical="center"/>
    </xf>
    <xf numFmtId="49" fontId="37" fillId="9" borderId="11" xfId="0" applyNumberFormat="1" applyFont="1" applyFill="1" applyBorder="1" applyAlignment="1">
      <alignment horizontal="center" vertical="center"/>
    </xf>
    <xf numFmtId="49" fontId="37" fillId="9" borderId="61" xfId="0" applyNumberFormat="1" applyFont="1" applyFill="1" applyBorder="1" applyAlignment="1">
      <alignment horizontal="center" vertical="center"/>
    </xf>
    <xf numFmtId="49" fontId="40" fillId="0" borderId="12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5" borderId="22" xfId="0" applyFont="1" applyFill="1" applyBorder="1" applyAlignment="1">
      <alignment horizontal="center" vertical="center"/>
    </xf>
    <xf numFmtId="49" fontId="26" fillId="0" borderId="116" xfId="0" applyNumberFormat="1" applyFont="1" applyBorder="1" applyAlignment="1">
      <alignment horizontal="center" vertical="center"/>
    </xf>
    <xf numFmtId="0" fontId="35" fillId="0" borderId="138" xfId="0" applyFont="1" applyBorder="1" applyAlignment="1">
      <alignment horizontal="center" vertical="center"/>
    </xf>
    <xf numFmtId="0" fontId="55" fillId="0" borderId="0" xfId="0" quotePrefix="1" applyFont="1" applyAlignment="1">
      <alignment horizontal="center" vertical="center"/>
    </xf>
    <xf numFmtId="1" fontId="13" fillId="0" borderId="57" xfId="0" applyNumberFormat="1" applyFont="1" applyBorder="1" applyAlignment="1">
      <alignment horizontal="center" vertical="center"/>
    </xf>
    <xf numFmtId="0" fontId="4" fillId="5" borderId="59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/>
    </xf>
    <xf numFmtId="0" fontId="4" fillId="5" borderId="22" xfId="0" applyFont="1" applyFill="1" applyBorder="1" applyAlignment="1">
      <alignment horizontal="center" vertical="center"/>
    </xf>
    <xf numFmtId="0" fontId="35" fillId="0" borderId="59" xfId="0" applyFont="1" applyBorder="1" applyAlignment="1">
      <alignment horizontal="center" vertical="center"/>
    </xf>
    <xf numFmtId="49" fontId="35" fillId="0" borderId="22" xfId="0" applyNumberFormat="1" applyFont="1" applyBorder="1" applyAlignment="1">
      <alignment horizontal="center" vertical="center"/>
    </xf>
    <xf numFmtId="0" fontId="23" fillId="0" borderId="2" xfId="1" applyFont="1" applyFill="1" applyBorder="1" applyAlignment="1">
      <alignment horizontal="center" vertical="center" wrapText="1"/>
    </xf>
    <xf numFmtId="0" fontId="28" fillId="7" borderId="119" xfId="0" applyFont="1" applyFill="1" applyBorder="1" applyAlignment="1">
      <alignment horizontal="center" vertical="center"/>
    </xf>
    <xf numFmtId="0" fontId="42" fillId="0" borderId="117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4" fillId="4" borderId="22" xfId="0" applyFont="1" applyFill="1" applyBorder="1" applyAlignment="1">
      <alignment horizontal="center" vertical="center"/>
    </xf>
    <xf numFmtId="0" fontId="36" fillId="0" borderId="81" xfId="0" applyFont="1" applyBorder="1" applyAlignment="1">
      <alignment horizontal="center" vertical="center"/>
    </xf>
    <xf numFmtId="0" fontId="36" fillId="0" borderId="89" xfId="0" applyFont="1" applyBorder="1" applyAlignment="1">
      <alignment horizontal="center" vertical="center"/>
    </xf>
    <xf numFmtId="49" fontId="37" fillId="0" borderId="191" xfId="0" applyNumberFormat="1" applyFont="1" applyBorder="1" applyAlignment="1">
      <alignment horizontal="center" vertical="center"/>
    </xf>
    <xf numFmtId="49" fontId="38" fillId="0" borderId="23" xfId="0" applyNumberFormat="1" applyFont="1" applyBorder="1" applyAlignment="1">
      <alignment horizontal="center" vertical="center"/>
    </xf>
    <xf numFmtId="49" fontId="38" fillId="0" borderId="80" xfId="0" applyNumberFormat="1" applyFont="1" applyBorder="1" applyAlignment="1">
      <alignment horizontal="center" vertical="center"/>
    </xf>
    <xf numFmtId="0" fontId="40" fillId="0" borderId="90" xfId="0" applyFont="1" applyBorder="1" applyAlignment="1">
      <alignment horizontal="center" vertical="center"/>
    </xf>
    <xf numFmtId="0" fontId="40" fillId="0" borderId="81" xfId="0" applyFont="1" applyBorder="1" applyAlignment="1">
      <alignment horizontal="center" vertical="center"/>
    </xf>
    <xf numFmtId="49" fontId="16" fillId="0" borderId="80" xfId="0" applyNumberFormat="1" applyFont="1" applyBorder="1" applyAlignment="1">
      <alignment horizontal="center" vertical="center"/>
    </xf>
    <xf numFmtId="0" fontId="40" fillId="0" borderId="80" xfId="0" applyFont="1" applyBorder="1" applyAlignment="1">
      <alignment horizontal="center" vertical="center"/>
    </xf>
    <xf numFmtId="0" fontId="38" fillId="0" borderId="80" xfId="0" applyFont="1" applyBorder="1" applyAlignment="1">
      <alignment horizontal="center" vertical="center"/>
    </xf>
    <xf numFmtId="0" fontId="38" fillId="0" borderId="186" xfId="0" applyFont="1" applyBorder="1" applyAlignment="1">
      <alignment horizontal="center" vertical="center"/>
    </xf>
    <xf numFmtId="0" fontId="38" fillId="0" borderId="187" xfId="0" applyFont="1" applyBorder="1" applyAlignment="1">
      <alignment horizontal="center" vertical="center"/>
    </xf>
    <xf numFmtId="49" fontId="38" fillId="0" borderId="186" xfId="0" applyNumberFormat="1" applyFont="1" applyBorder="1" applyAlignment="1">
      <alignment horizontal="center" vertical="center"/>
    </xf>
    <xf numFmtId="49" fontId="38" fillId="0" borderId="145" xfId="0" applyNumberFormat="1" applyFont="1" applyBorder="1" applyAlignment="1">
      <alignment horizontal="center" vertical="center"/>
    </xf>
    <xf numFmtId="0" fontId="38" fillId="0" borderId="145" xfId="0" applyFont="1" applyBorder="1" applyAlignment="1">
      <alignment horizontal="center" vertical="center"/>
    </xf>
    <xf numFmtId="49" fontId="38" fillId="0" borderId="188" xfId="0" applyNumberFormat="1" applyFont="1" applyBorder="1" applyAlignment="1">
      <alignment horizontal="center" vertical="center"/>
    </xf>
    <xf numFmtId="0" fontId="38" fillId="0" borderId="189" xfId="0" applyFont="1" applyBorder="1" applyAlignment="1">
      <alignment horizontal="center" vertical="center"/>
    </xf>
    <xf numFmtId="49" fontId="38" fillId="0" borderId="190" xfId="0" applyNumberFormat="1" applyFont="1" applyBorder="1" applyAlignment="1">
      <alignment horizontal="center" vertical="center"/>
    </xf>
    <xf numFmtId="0" fontId="38" fillId="0" borderId="192" xfId="0" applyFont="1" applyBorder="1" applyAlignment="1">
      <alignment horizontal="center" vertical="center"/>
    </xf>
    <xf numFmtId="49" fontId="35" fillId="0" borderId="102" xfId="0" applyNumberFormat="1" applyFont="1" applyBorder="1" applyAlignment="1">
      <alignment horizontal="center" vertical="center"/>
    </xf>
    <xf numFmtId="0" fontId="35" fillId="0" borderId="193" xfId="0" applyFont="1" applyBorder="1" applyAlignment="1">
      <alignment horizontal="center" vertical="center"/>
    </xf>
    <xf numFmtId="0" fontId="37" fillId="0" borderId="193" xfId="0" applyFont="1" applyBorder="1" applyAlignment="1">
      <alignment horizontal="center" vertical="center"/>
    </xf>
    <xf numFmtId="0" fontId="35" fillId="0" borderId="194" xfId="0" applyFont="1" applyBorder="1" applyAlignment="1">
      <alignment horizontal="center" vertical="center"/>
    </xf>
    <xf numFmtId="0" fontId="35" fillId="0" borderId="196" xfId="0" applyFont="1" applyBorder="1" applyAlignment="1">
      <alignment horizontal="center" vertical="center"/>
    </xf>
    <xf numFmtId="0" fontId="37" fillId="0" borderId="196" xfId="0" applyFont="1" applyBorder="1" applyAlignment="1">
      <alignment horizontal="center" vertical="center"/>
    </xf>
    <xf numFmtId="0" fontId="35" fillId="0" borderId="109" xfId="0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35" fillId="0" borderId="139" xfId="0" applyFont="1" applyBorder="1" applyAlignment="1">
      <alignment horizontal="center" vertical="center"/>
    </xf>
    <xf numFmtId="49" fontId="35" fillId="0" borderId="140" xfId="0" applyNumberFormat="1" applyFont="1" applyBorder="1" applyAlignment="1">
      <alignment horizontal="center" vertical="center"/>
    </xf>
    <xf numFmtId="0" fontId="37" fillId="9" borderId="111" xfId="0" applyFont="1" applyFill="1" applyBorder="1" applyAlignment="1">
      <alignment horizontal="center" vertical="center"/>
    </xf>
    <xf numFmtId="0" fontId="37" fillId="9" borderId="118" xfId="0" applyFont="1" applyFill="1" applyBorder="1" applyAlignment="1">
      <alignment horizontal="center" vertical="center"/>
    </xf>
    <xf numFmtId="0" fontId="45" fillId="0" borderId="15" xfId="0" applyFont="1" applyBorder="1" applyAlignment="1">
      <alignment horizontal="center" vertical="center"/>
    </xf>
    <xf numFmtId="0" fontId="37" fillId="0" borderId="139" xfId="0" applyFont="1" applyBorder="1" applyAlignment="1">
      <alignment horizontal="center" vertical="center"/>
    </xf>
    <xf numFmtId="49" fontId="37" fillId="0" borderId="197" xfId="0" applyNumberFormat="1" applyFont="1" applyBorder="1" applyAlignment="1">
      <alignment horizontal="center" vertical="center"/>
    </xf>
    <xf numFmtId="0" fontId="35" fillId="0" borderId="108" xfId="0" applyFont="1" applyBorder="1" applyAlignment="1">
      <alignment horizontal="center" vertical="center"/>
    </xf>
    <xf numFmtId="0" fontId="35" fillId="0" borderId="195" xfId="0" applyFont="1" applyBorder="1" applyAlignment="1">
      <alignment horizontal="center" vertical="center"/>
    </xf>
    <xf numFmtId="0" fontId="35" fillId="0" borderId="107" xfId="0" applyFont="1" applyBorder="1" applyAlignment="1">
      <alignment horizontal="center" vertical="center"/>
    </xf>
    <xf numFmtId="0" fontId="35" fillId="0" borderId="110" xfId="0" applyFont="1" applyBorder="1" applyAlignment="1">
      <alignment horizontal="center" vertical="center"/>
    </xf>
    <xf numFmtId="49" fontId="35" fillId="0" borderId="112" xfId="0" applyNumberFormat="1" applyFont="1" applyBorder="1" applyAlignment="1">
      <alignment horizontal="center" vertical="center"/>
    </xf>
    <xf numFmtId="0" fontId="35" fillId="0" borderId="198" xfId="0" applyFont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37" fillId="0" borderId="46" xfId="0" applyFont="1" applyBorder="1" applyAlignment="1">
      <alignment horizontal="center" vertical="center"/>
    </xf>
    <xf numFmtId="49" fontId="35" fillId="0" borderId="199" xfId="0" applyNumberFormat="1" applyFont="1" applyBorder="1" applyAlignment="1">
      <alignment horizontal="center" vertical="center"/>
    </xf>
    <xf numFmtId="0" fontId="37" fillId="0" borderId="200" xfId="0" applyFont="1" applyBorder="1" applyAlignment="1">
      <alignment horizontal="center" vertical="center"/>
    </xf>
    <xf numFmtId="49" fontId="37" fillId="0" borderId="200" xfId="0" applyNumberFormat="1" applyFont="1" applyBorder="1" applyAlignment="1">
      <alignment horizontal="center" vertical="center"/>
    </xf>
    <xf numFmtId="49" fontId="35" fillId="0" borderId="200" xfId="0" applyNumberFormat="1" applyFont="1" applyBorder="1" applyAlignment="1">
      <alignment horizontal="center" vertical="center"/>
    </xf>
    <xf numFmtId="0" fontId="35" fillId="0" borderId="202" xfId="0" applyFont="1" applyBorder="1" applyAlignment="1">
      <alignment horizontal="center" vertical="center"/>
    </xf>
    <xf numFmtId="0" fontId="37" fillId="0" borderId="108" xfId="0" applyFont="1" applyBorder="1" applyAlignment="1">
      <alignment horizontal="center" vertical="center"/>
    </xf>
    <xf numFmtId="0" fontId="37" fillId="0" borderId="201" xfId="0" applyFont="1" applyBorder="1" applyAlignment="1">
      <alignment horizontal="center" vertical="center"/>
    </xf>
    <xf numFmtId="0" fontId="56" fillId="0" borderId="0" xfId="0" applyFont="1" applyAlignment="1">
      <alignment vertical="center" wrapText="1"/>
    </xf>
    <xf numFmtId="49" fontId="35" fillId="0" borderId="204" xfId="0" applyNumberFormat="1" applyFont="1" applyBorder="1" applyAlignment="1">
      <alignment horizontal="center" vertical="center"/>
    </xf>
    <xf numFmtId="0" fontId="35" fillId="0" borderId="204" xfId="0" applyFont="1" applyBorder="1" applyAlignment="1">
      <alignment horizontal="center" vertical="center"/>
    </xf>
    <xf numFmtId="49" fontId="35" fillId="0" borderId="203" xfId="0" applyNumberFormat="1" applyFont="1" applyBorder="1" applyAlignment="1">
      <alignment horizontal="center" vertical="center"/>
    </xf>
    <xf numFmtId="49" fontId="37" fillId="0" borderId="204" xfId="0" applyNumberFormat="1" applyFont="1" applyBorder="1" applyAlignment="1">
      <alignment horizontal="center" vertical="center"/>
    </xf>
    <xf numFmtId="1" fontId="11" fillId="0" borderId="3" xfId="0" applyNumberFormat="1" applyFont="1" applyBorder="1" applyAlignment="1">
      <alignment horizontal="center" vertical="center"/>
    </xf>
    <xf numFmtId="49" fontId="37" fillId="0" borderId="48" xfId="0" applyNumberFormat="1" applyFont="1" applyBorder="1" applyAlignment="1">
      <alignment horizontal="center" vertical="center"/>
    </xf>
    <xf numFmtId="49" fontId="35" fillId="0" borderId="44" xfId="0" applyNumberFormat="1" applyFont="1" applyBorder="1" applyAlignment="1">
      <alignment horizontal="center" vertical="center"/>
    </xf>
    <xf numFmtId="49" fontId="35" fillId="0" borderId="38" xfId="0" applyNumberFormat="1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3" fillId="0" borderId="122" xfId="0" applyFont="1" applyBorder="1" applyAlignment="1">
      <alignment horizontal="center" vertical="center"/>
    </xf>
    <xf numFmtId="0" fontId="37" fillId="0" borderId="142" xfId="0" applyFont="1" applyBorder="1" applyAlignment="1">
      <alignment horizontal="center" vertical="center"/>
    </xf>
    <xf numFmtId="0" fontId="37" fillId="9" borderId="141" xfId="0" applyFont="1" applyFill="1" applyBorder="1" applyAlignment="1">
      <alignment horizontal="center" vertical="center"/>
    </xf>
    <xf numFmtId="0" fontId="37" fillId="9" borderId="142" xfId="0" applyFont="1" applyFill="1" applyBorder="1" applyAlignment="1">
      <alignment horizontal="center" vertical="center"/>
    </xf>
    <xf numFmtId="49" fontId="37" fillId="9" borderId="94" xfId="0" applyNumberFormat="1" applyFont="1" applyFill="1" applyBorder="1" applyAlignment="1">
      <alignment horizontal="center" vertical="center"/>
    </xf>
    <xf numFmtId="0" fontId="37" fillId="0" borderId="85" xfId="0" applyFont="1" applyBorder="1" applyAlignment="1">
      <alignment horizontal="center" vertical="center"/>
    </xf>
    <xf numFmtId="49" fontId="26" fillId="9" borderId="146" xfId="0" applyNumberFormat="1" applyFont="1" applyFill="1" applyBorder="1" applyAlignment="1">
      <alignment horizontal="center" vertical="center"/>
    </xf>
    <xf numFmtId="49" fontId="35" fillId="12" borderId="13" xfId="0" applyNumberFormat="1" applyFont="1" applyFill="1" applyBorder="1" applyAlignment="1">
      <alignment horizontal="center" vertical="center"/>
    </xf>
    <xf numFmtId="0" fontId="35" fillId="0" borderId="201" xfId="0" applyFont="1" applyBorder="1" applyAlignment="1">
      <alignment horizontal="center" vertical="center"/>
    </xf>
    <xf numFmtId="49" fontId="58" fillId="0" borderId="0" xfId="0" applyNumberFormat="1" applyFont="1" applyAlignment="1">
      <alignment horizontal="center" vertical="center"/>
    </xf>
    <xf numFmtId="0" fontId="40" fillId="9" borderId="14" xfId="0" applyFont="1" applyFill="1" applyBorder="1" applyAlignment="1">
      <alignment horizontal="center" vertical="center"/>
    </xf>
    <xf numFmtId="49" fontId="26" fillId="0" borderId="144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36" fillId="0" borderId="9" xfId="0" applyFont="1" applyBorder="1" applyAlignment="1">
      <alignment horizontal="center" vertical="center"/>
    </xf>
    <xf numFmtId="0" fontId="35" fillId="0" borderId="36" xfId="0" applyFont="1" applyBorder="1" applyAlignment="1">
      <alignment horizontal="center" vertical="center"/>
    </xf>
    <xf numFmtId="0" fontId="35" fillId="0" borderId="22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40" fillId="0" borderId="116" xfId="0" applyFont="1" applyBorder="1" applyAlignment="1">
      <alignment horizontal="center" vertical="center"/>
    </xf>
    <xf numFmtId="49" fontId="35" fillId="0" borderId="164" xfId="0" applyNumberFormat="1" applyFont="1" applyBorder="1" applyAlignment="1">
      <alignment horizontal="center" vertical="center"/>
    </xf>
    <xf numFmtId="0" fontId="30" fillId="0" borderId="116" xfId="0" applyFont="1" applyBorder="1" applyAlignment="1">
      <alignment horizontal="center" vertical="center"/>
    </xf>
    <xf numFmtId="49" fontId="37" fillId="0" borderId="149" xfId="0" applyNumberFormat="1" applyFont="1" applyBorder="1" applyAlignment="1">
      <alignment horizontal="center" vertical="center"/>
    </xf>
    <xf numFmtId="49" fontId="37" fillId="0" borderId="126" xfId="0" applyNumberFormat="1" applyFont="1" applyBorder="1" applyAlignment="1">
      <alignment horizontal="center" vertical="center"/>
    </xf>
    <xf numFmtId="0" fontId="37" fillId="0" borderId="30" xfId="0" applyFont="1" applyBorder="1" applyAlignment="1">
      <alignment horizontal="center" vertical="center"/>
    </xf>
    <xf numFmtId="49" fontId="35" fillId="0" borderId="56" xfId="0" applyNumberFormat="1" applyFont="1" applyBorder="1" applyAlignment="1">
      <alignment horizontal="center" vertical="center"/>
    </xf>
    <xf numFmtId="0" fontId="36" fillId="0" borderId="49" xfId="0" applyFont="1" applyBorder="1" applyAlignment="1">
      <alignment horizontal="center" vertical="center"/>
    </xf>
    <xf numFmtId="0" fontId="38" fillId="0" borderId="27" xfId="0" applyFont="1" applyBorder="1" applyAlignment="1">
      <alignment horizontal="center" vertical="center"/>
    </xf>
    <xf numFmtId="0" fontId="38" fillId="0" borderId="114" xfId="0" applyFont="1" applyBorder="1" applyAlignment="1">
      <alignment horizontal="center" vertical="center"/>
    </xf>
    <xf numFmtId="49" fontId="38" fillId="0" borderId="116" xfId="0" applyNumberFormat="1" applyFont="1" applyBorder="1" applyAlignment="1">
      <alignment horizontal="center" vertical="center"/>
    </xf>
    <xf numFmtId="0" fontId="38" fillId="0" borderId="116" xfId="0" applyFont="1" applyBorder="1" applyAlignment="1">
      <alignment horizontal="center" vertical="center"/>
    </xf>
    <xf numFmtId="49" fontId="38" fillId="0" borderId="118" xfId="0" applyNumberFormat="1" applyFont="1" applyBorder="1" applyAlignment="1">
      <alignment horizontal="center" vertical="center"/>
    </xf>
    <xf numFmtId="0" fontId="38" fillId="0" borderId="23" xfId="0" applyFont="1" applyBorder="1" applyAlignment="1">
      <alignment horizontal="center" vertical="center"/>
    </xf>
    <xf numFmtId="0" fontId="38" fillId="0" borderId="63" xfId="0" applyFont="1" applyBorder="1" applyAlignment="1">
      <alignment horizontal="center" vertical="center"/>
    </xf>
    <xf numFmtId="0" fontId="21" fillId="0" borderId="85" xfId="0" applyFont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84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40" fillId="0" borderId="63" xfId="0" applyFont="1" applyBorder="1" applyAlignment="1">
      <alignment horizontal="center" vertical="center"/>
    </xf>
    <xf numFmtId="49" fontId="36" fillId="0" borderId="63" xfId="0" applyNumberFormat="1" applyFont="1" applyBorder="1" applyAlignment="1">
      <alignment horizontal="center" vertical="center"/>
    </xf>
    <xf numFmtId="49" fontId="40" fillId="0" borderId="114" xfId="0" applyNumberFormat="1" applyFont="1" applyBorder="1" applyAlignment="1">
      <alignment horizontal="center" vertical="center"/>
    </xf>
    <xf numFmtId="49" fontId="40" fillId="0" borderId="118" xfId="0" applyNumberFormat="1" applyFont="1" applyBorder="1" applyAlignment="1">
      <alignment horizontal="center" vertical="center"/>
    </xf>
    <xf numFmtId="49" fontId="35" fillId="0" borderId="163" xfId="0" applyNumberFormat="1" applyFont="1" applyBorder="1" applyAlignment="1">
      <alignment horizontal="center" vertical="center"/>
    </xf>
    <xf numFmtId="49" fontId="35" fillId="12" borderId="17" xfId="0" applyNumberFormat="1" applyFont="1" applyFill="1" applyBorder="1" applyAlignment="1">
      <alignment horizontal="center" vertical="center"/>
    </xf>
    <xf numFmtId="49" fontId="35" fillId="12" borderId="15" xfId="0" applyNumberFormat="1" applyFont="1" applyFill="1" applyBorder="1" applyAlignment="1">
      <alignment horizontal="center" vertical="center"/>
    </xf>
    <xf numFmtId="0" fontId="35" fillId="12" borderId="27" xfId="0" applyFont="1" applyFill="1" applyBorder="1" applyAlignment="1">
      <alignment horizontal="center" vertical="center"/>
    </xf>
    <xf numFmtId="49" fontId="35" fillId="12" borderId="149" xfId="0" applyNumberFormat="1" applyFont="1" applyFill="1" applyBorder="1" applyAlignment="1">
      <alignment horizontal="center" vertical="center"/>
    </xf>
    <xf numFmtId="0" fontId="21" fillId="0" borderId="72" xfId="0" quotePrefix="1" applyFont="1" applyBorder="1" applyAlignment="1">
      <alignment horizontal="center" vertical="center"/>
    </xf>
    <xf numFmtId="20" fontId="9" fillId="0" borderId="0" xfId="0" applyNumberFormat="1" applyFont="1">
      <alignment vertical="center"/>
    </xf>
    <xf numFmtId="0" fontId="35" fillId="0" borderId="21" xfId="0" quotePrefix="1" applyFont="1" applyBorder="1" applyAlignment="1">
      <alignment horizontal="center" vertical="center"/>
    </xf>
    <xf numFmtId="49" fontId="40" fillId="0" borderId="31" xfId="0" applyNumberFormat="1" applyFont="1" applyBorder="1" applyAlignment="1">
      <alignment horizontal="center" vertical="center"/>
    </xf>
    <xf numFmtId="0" fontId="35" fillId="12" borderId="17" xfId="0" applyFont="1" applyFill="1" applyBorder="1" applyAlignment="1">
      <alignment horizontal="center" vertical="center"/>
    </xf>
    <xf numFmtId="49" fontId="40" fillId="9" borderId="17" xfId="0" applyNumberFormat="1" applyFont="1" applyFill="1" applyBorder="1" applyAlignment="1">
      <alignment horizontal="center" vertical="center"/>
    </xf>
    <xf numFmtId="1" fontId="11" fillId="0" borderId="26" xfId="0" applyNumberFormat="1" applyFont="1" applyBorder="1" applyAlignment="1">
      <alignment horizontal="center" vertical="center"/>
    </xf>
    <xf numFmtId="1" fontId="21" fillId="5" borderId="26" xfId="0" applyNumberFormat="1" applyFont="1" applyFill="1" applyBorder="1" applyAlignment="1">
      <alignment horizontal="center" vertical="center"/>
    </xf>
    <xf numFmtId="1" fontId="13" fillId="4" borderId="26" xfId="0" applyNumberFormat="1" applyFont="1" applyFill="1" applyBorder="1" applyAlignment="1">
      <alignment horizontal="center" vertical="center"/>
    </xf>
    <xf numFmtId="1" fontId="13" fillId="0" borderId="26" xfId="0" applyNumberFormat="1" applyFont="1" applyBorder="1" applyAlignment="1">
      <alignment horizontal="center" vertical="center"/>
    </xf>
    <xf numFmtId="0" fontId="35" fillId="0" borderId="162" xfId="0" applyFont="1" applyBorder="1" applyAlignment="1">
      <alignment horizontal="center" vertical="center"/>
    </xf>
    <xf numFmtId="0" fontId="35" fillId="0" borderId="26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/>
    </xf>
    <xf numFmtId="49" fontId="35" fillId="13" borderId="63" xfId="0" applyNumberFormat="1" applyFont="1" applyFill="1" applyBorder="1" applyAlignment="1">
      <alignment horizontal="center" vertical="center"/>
    </xf>
    <xf numFmtId="49" fontId="37" fillId="0" borderId="118" xfId="0" applyNumberFormat="1" applyFont="1" applyBorder="1" applyAlignment="1">
      <alignment horizontal="center" vertical="center"/>
    </xf>
    <xf numFmtId="0" fontId="37" fillId="0" borderId="69" xfId="0" applyFont="1" applyBorder="1" applyAlignment="1">
      <alignment horizontal="center" vertical="center"/>
    </xf>
    <xf numFmtId="0" fontId="36" fillId="0" borderId="119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46" fontId="9" fillId="0" borderId="0" xfId="0" applyNumberFormat="1" applyFont="1">
      <alignment vertical="center"/>
    </xf>
    <xf numFmtId="0" fontId="38" fillId="0" borderId="66" xfId="0" applyFont="1" applyBorder="1" applyAlignment="1">
      <alignment horizontal="center" vertical="center"/>
    </xf>
    <xf numFmtId="49" fontId="38" fillId="0" borderId="66" xfId="0" applyNumberFormat="1" applyFont="1" applyBorder="1" applyAlignment="1">
      <alignment horizontal="center" vertical="center"/>
    </xf>
    <xf numFmtId="49" fontId="38" fillId="0" borderId="31" xfId="0" applyNumberFormat="1" applyFont="1" applyBorder="1" applyAlignment="1">
      <alignment horizontal="center" vertical="center"/>
    </xf>
    <xf numFmtId="0" fontId="38" fillId="0" borderId="31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49" fontId="45" fillId="0" borderId="17" xfId="0" applyNumberFormat="1" applyFont="1" applyBorder="1" applyAlignment="1">
      <alignment horizontal="center" vertical="center"/>
    </xf>
    <xf numFmtId="49" fontId="35" fillId="0" borderId="149" xfId="0" applyNumberFormat="1" applyFont="1" applyBorder="1" applyAlignment="1">
      <alignment horizontal="center" vertical="center"/>
    </xf>
    <xf numFmtId="0" fontId="5" fillId="0" borderId="57" xfId="0" applyFont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49" fontId="35" fillId="0" borderId="84" xfId="0" applyNumberFormat="1" applyFont="1" applyBorder="1" applyAlignment="1">
      <alignment horizontal="center" vertical="center"/>
    </xf>
    <xf numFmtId="49" fontId="42" fillId="0" borderId="63" xfId="0" applyNumberFormat="1" applyFont="1" applyBorder="1" applyAlignment="1">
      <alignment horizontal="center" vertical="center"/>
    </xf>
    <xf numFmtId="49" fontId="30" fillId="0" borderId="119" xfId="0" applyNumberFormat="1" applyFont="1" applyBorder="1" applyAlignment="1">
      <alignment horizontal="center" vertical="center"/>
    </xf>
    <xf numFmtId="49" fontId="36" fillId="0" borderId="70" xfId="0" applyNumberFormat="1" applyFont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0" fontId="21" fillId="0" borderId="9" xfId="0" quotePrefix="1" applyFont="1" applyBorder="1" applyAlignment="1">
      <alignment horizontal="center" vertical="center"/>
    </xf>
    <xf numFmtId="0" fontId="37" fillId="0" borderId="155" xfId="0" applyFont="1" applyBorder="1" applyAlignment="1">
      <alignment horizontal="center" vertical="center"/>
    </xf>
    <xf numFmtId="49" fontId="37" fillId="9" borderId="142" xfId="0" applyNumberFormat="1" applyFont="1" applyFill="1" applyBorder="1" applyAlignment="1">
      <alignment horizontal="center" vertical="center"/>
    </xf>
    <xf numFmtId="0" fontId="52" fillId="0" borderId="115" xfId="0" applyFont="1" applyBorder="1" applyAlignment="1">
      <alignment horizontal="center" vertical="center"/>
    </xf>
    <xf numFmtId="49" fontId="36" fillId="14" borderId="77" xfId="0" applyNumberFormat="1" applyFont="1" applyFill="1" applyBorder="1" applyAlignment="1">
      <alignment horizontal="center" vertical="center"/>
    </xf>
    <xf numFmtId="49" fontId="36" fillId="14" borderId="15" xfId="0" applyNumberFormat="1" applyFont="1" applyFill="1" applyBorder="1" applyAlignment="1">
      <alignment horizontal="center" vertical="center"/>
    </xf>
    <xf numFmtId="0" fontId="36" fillId="14" borderId="15" xfId="0" applyFont="1" applyFill="1" applyBorder="1" applyAlignment="1">
      <alignment horizontal="center" vertical="center"/>
    </xf>
    <xf numFmtId="0" fontId="36" fillId="14" borderId="116" xfId="0" applyFont="1" applyFill="1" applyBorder="1" applyAlignment="1">
      <alignment horizontal="center" vertical="center"/>
    </xf>
    <xf numFmtId="0" fontId="36" fillId="14" borderId="66" xfId="0" applyFont="1" applyFill="1" applyBorder="1" applyAlignment="1">
      <alignment horizontal="center" vertical="center"/>
    </xf>
    <xf numFmtId="49" fontId="36" fillId="14" borderId="30" xfId="0" applyNumberFormat="1" applyFont="1" applyFill="1" applyBorder="1" applyAlignment="1">
      <alignment horizontal="center" vertical="center"/>
    </xf>
    <xf numFmtId="49" fontId="59" fillId="0" borderId="23" xfId="0" applyNumberFormat="1" applyFont="1" applyBorder="1" applyAlignment="1">
      <alignment horizontal="center" vertical="center"/>
    </xf>
    <xf numFmtId="49" fontId="36" fillId="14" borderId="12" xfId="0" applyNumberFormat="1" applyFont="1" applyFill="1" applyBorder="1" applyAlignment="1">
      <alignment horizontal="center" vertical="center"/>
    </xf>
    <xf numFmtId="49" fontId="29" fillId="0" borderId="82" xfId="0" applyNumberFormat="1" applyFont="1" applyBorder="1" applyAlignment="1">
      <alignment horizontal="center" vertical="center"/>
    </xf>
    <xf numFmtId="0" fontId="28" fillId="8" borderId="14" xfId="0" applyFont="1" applyFill="1" applyBorder="1" applyAlignment="1">
      <alignment horizontal="center" vertical="center"/>
    </xf>
    <xf numFmtId="0" fontId="60" fillId="0" borderId="0" xfId="0" applyFont="1">
      <alignment vertical="center"/>
    </xf>
    <xf numFmtId="0" fontId="46" fillId="0" borderId="15" xfId="0" applyFont="1" applyBorder="1">
      <alignment vertical="center"/>
    </xf>
    <xf numFmtId="49" fontId="46" fillId="15" borderId="15" xfId="0" applyNumberFormat="1" applyFont="1" applyFill="1" applyBorder="1" applyAlignment="1">
      <alignment horizontal="center" vertical="center"/>
    </xf>
    <xf numFmtId="49" fontId="29" fillId="16" borderId="15" xfId="0" applyNumberFormat="1" applyFont="1" applyFill="1" applyBorder="1" applyAlignment="1">
      <alignment horizontal="center" vertical="center"/>
    </xf>
    <xf numFmtId="49" fontId="63" fillId="16" borderId="15" xfId="0" applyNumberFormat="1" applyFont="1" applyFill="1" applyBorder="1" applyAlignment="1">
      <alignment horizontal="center" vertical="center"/>
    </xf>
    <xf numFmtId="0" fontId="17" fillId="16" borderId="15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/>
    </xf>
    <xf numFmtId="0" fontId="28" fillId="0" borderId="21" xfId="0" applyFont="1" applyBorder="1">
      <alignment vertical="center"/>
    </xf>
    <xf numFmtId="0" fontId="28" fillId="17" borderId="15" xfId="0" applyFont="1" applyFill="1" applyBorder="1" applyAlignment="1">
      <alignment horizontal="center" vertical="center"/>
    </xf>
    <xf numFmtId="0" fontId="28" fillId="7" borderId="50" xfId="0" applyFont="1" applyFill="1" applyBorder="1" applyAlignment="1">
      <alignment horizontal="center" vertical="center"/>
    </xf>
    <xf numFmtId="0" fontId="20" fillId="3" borderId="15" xfId="0" applyFont="1" applyFill="1" applyBorder="1" applyAlignment="1">
      <alignment horizontal="center" vertical="center"/>
    </xf>
    <xf numFmtId="1" fontId="11" fillId="0" borderId="122" xfId="0" applyNumberFormat="1" applyFont="1" applyBorder="1" applyAlignment="1">
      <alignment horizontal="center" vertical="center"/>
    </xf>
    <xf numFmtId="0" fontId="21" fillId="0" borderId="23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1" fontId="11" fillId="0" borderId="84" xfId="0" applyNumberFormat="1" applyFont="1" applyBorder="1" applyAlignment="1">
      <alignment horizontal="center" vertical="center"/>
    </xf>
    <xf numFmtId="0" fontId="65" fillId="0" borderId="63" xfId="0" applyFont="1" applyBorder="1" applyAlignment="1">
      <alignment horizontal="center" vertical="center"/>
    </xf>
    <xf numFmtId="0" fontId="36" fillId="15" borderId="63" xfId="0" applyFont="1" applyFill="1" applyBorder="1" applyAlignment="1">
      <alignment horizontal="center" vertical="center"/>
    </xf>
    <xf numFmtId="0" fontId="65" fillId="0" borderId="9" xfId="0" applyFont="1" applyBorder="1" applyAlignment="1">
      <alignment horizontal="center" vertical="center"/>
    </xf>
    <xf numFmtId="0" fontId="65" fillId="0" borderId="85" xfId="0" applyFont="1" applyBorder="1" applyAlignment="1">
      <alignment horizontal="center" vertical="center"/>
    </xf>
    <xf numFmtId="0" fontId="23" fillId="0" borderId="57" xfId="1" applyFont="1" applyFill="1" applyBorder="1" applyAlignment="1">
      <alignment horizontal="center" vertical="center" wrapText="1"/>
    </xf>
    <xf numFmtId="1" fontId="11" fillId="0" borderId="20" xfId="0" applyNumberFormat="1" applyFont="1" applyBorder="1" applyAlignment="1">
      <alignment horizontal="center" vertical="center"/>
    </xf>
    <xf numFmtId="0" fontId="65" fillId="0" borderId="17" xfId="0" applyFont="1" applyBorder="1" applyAlignment="1">
      <alignment horizontal="center" vertical="center"/>
    </xf>
    <xf numFmtId="0" fontId="37" fillId="15" borderId="17" xfId="0" applyFont="1" applyFill="1" applyBorder="1" applyAlignment="1">
      <alignment horizontal="center" vertical="center"/>
    </xf>
    <xf numFmtId="0" fontId="65" fillId="0" borderId="119" xfId="0" applyFont="1" applyBorder="1" applyAlignment="1">
      <alignment horizontal="center" vertical="center"/>
    </xf>
    <xf numFmtId="0" fontId="36" fillId="0" borderId="94" xfId="0" applyFont="1" applyBorder="1" applyAlignment="1">
      <alignment horizontal="center" vertical="center"/>
    </xf>
    <xf numFmtId="1" fontId="11" fillId="0" borderId="21" xfId="0" applyNumberFormat="1" applyFont="1" applyBorder="1" applyAlignment="1">
      <alignment horizontal="center" vertical="center"/>
    </xf>
    <xf numFmtId="0" fontId="65" fillId="0" borderId="15" xfId="0" applyFont="1" applyBorder="1" applyAlignment="1">
      <alignment horizontal="center" vertical="center"/>
    </xf>
    <xf numFmtId="0" fontId="36" fillId="16" borderId="15" xfId="0" applyFont="1" applyFill="1" applyBorder="1" applyAlignment="1">
      <alignment horizontal="center" vertical="center"/>
    </xf>
    <xf numFmtId="0" fontId="65" fillId="0" borderId="117" xfId="0" applyFont="1" applyBorder="1" applyAlignment="1">
      <alignment horizontal="center" vertical="center"/>
    </xf>
    <xf numFmtId="0" fontId="37" fillId="15" borderId="116" xfId="0" applyFont="1" applyFill="1" applyBorder="1" applyAlignment="1">
      <alignment horizontal="center" vertical="center"/>
    </xf>
    <xf numFmtId="0" fontId="37" fillId="15" borderId="15" xfId="0" applyFont="1" applyFill="1" applyBorder="1" applyAlignment="1">
      <alignment horizontal="center" vertical="center"/>
    </xf>
    <xf numFmtId="0" fontId="38" fillId="0" borderId="37" xfId="0" applyFont="1" applyBorder="1" applyAlignment="1">
      <alignment horizontal="center" vertical="center"/>
    </xf>
    <xf numFmtId="49" fontId="40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68" fillId="15" borderId="117" xfId="0" applyFont="1" applyFill="1" applyBorder="1" applyAlignment="1">
      <alignment horizontal="center" vertical="center"/>
    </xf>
    <xf numFmtId="0" fontId="69" fillId="0" borderId="15" xfId="0" applyFont="1" applyBorder="1" applyAlignment="1">
      <alignment horizontal="center" vertical="center"/>
    </xf>
    <xf numFmtId="0" fontId="68" fillId="0" borderId="15" xfId="0" applyFont="1" applyBorder="1" applyAlignment="1">
      <alignment horizontal="center" vertical="center"/>
    </xf>
    <xf numFmtId="0" fontId="68" fillId="0" borderId="117" xfId="0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0" fontId="68" fillId="0" borderId="115" xfId="0" applyFont="1" applyBorder="1" applyAlignment="1">
      <alignment horizontal="center" vertical="center"/>
    </xf>
    <xf numFmtId="0" fontId="69" fillId="0" borderId="23" xfId="0" applyFont="1" applyBorder="1" applyAlignment="1">
      <alignment horizontal="center" vertical="center"/>
    </xf>
    <xf numFmtId="0" fontId="68" fillId="15" borderId="23" xfId="0" applyFont="1" applyFill="1" applyBorder="1" applyAlignment="1">
      <alignment horizontal="center" vertical="center"/>
    </xf>
    <xf numFmtId="0" fontId="68" fillId="0" borderId="23" xfId="0" applyFont="1" applyBorder="1" applyAlignment="1">
      <alignment horizontal="center" vertical="center"/>
    </xf>
    <xf numFmtId="0" fontId="69" fillId="0" borderId="115" xfId="0" applyFont="1" applyBorder="1" applyAlignment="1">
      <alignment horizontal="center" vertical="center"/>
    </xf>
    <xf numFmtId="0" fontId="68" fillId="0" borderId="27" xfId="0" applyFont="1" applyBorder="1" applyAlignment="1">
      <alignment horizontal="center" vertical="center"/>
    </xf>
    <xf numFmtId="0" fontId="69" fillId="0" borderId="119" xfId="0" applyFont="1" applyBorder="1" applyAlignment="1">
      <alignment horizontal="center" vertical="center"/>
    </xf>
    <xf numFmtId="0" fontId="69" fillId="0" borderId="31" xfId="0" applyFont="1" applyBorder="1" applyAlignment="1">
      <alignment horizontal="center" vertical="center"/>
    </xf>
    <xf numFmtId="0" fontId="65" fillId="0" borderId="118" xfId="0" applyFont="1" applyBorder="1" applyAlignment="1">
      <alignment horizontal="center" vertical="center"/>
    </xf>
    <xf numFmtId="49" fontId="46" fillId="15" borderId="31" xfId="0" applyNumberFormat="1" applyFont="1" applyFill="1" applyBorder="1" applyAlignment="1">
      <alignment horizontal="center" vertical="center"/>
    </xf>
    <xf numFmtId="0" fontId="37" fillId="15" borderId="67" xfId="0" applyFont="1" applyFill="1" applyBorder="1" applyAlignment="1">
      <alignment horizontal="center" vertical="center"/>
    </xf>
    <xf numFmtId="0" fontId="37" fillId="15" borderId="117" xfId="0" applyFont="1" applyFill="1" applyBorder="1" applyAlignment="1">
      <alignment horizontal="center" vertical="center"/>
    </xf>
    <xf numFmtId="0" fontId="65" fillId="0" borderId="116" xfId="0" applyFont="1" applyBorder="1" applyAlignment="1">
      <alignment horizontal="center" vertical="center"/>
    </xf>
    <xf numFmtId="0" fontId="37" fillId="15" borderId="114" xfId="0" applyFont="1" applyFill="1" applyBorder="1" applyAlignment="1">
      <alignment horizontal="center" vertical="center"/>
    </xf>
    <xf numFmtId="0" fontId="65" fillId="0" borderId="23" xfId="0" applyFont="1" applyBorder="1" applyAlignment="1">
      <alignment horizontal="center" vertical="center"/>
    </xf>
    <xf numFmtId="49" fontId="46" fillId="15" borderId="66" xfId="0" applyNumberFormat="1" applyFont="1" applyFill="1" applyBorder="1" applyAlignment="1">
      <alignment horizontal="center" vertical="center"/>
    </xf>
    <xf numFmtId="0" fontId="65" fillId="0" borderId="66" xfId="0" applyFont="1" applyBorder="1" applyAlignment="1">
      <alignment horizontal="center" vertical="center"/>
    </xf>
    <xf numFmtId="1" fontId="11" fillId="0" borderId="30" xfId="0" applyNumberFormat="1" applyFont="1" applyBorder="1" applyAlignment="1">
      <alignment horizontal="center" vertical="center"/>
    </xf>
    <xf numFmtId="0" fontId="65" fillId="0" borderId="27" xfId="0" applyFont="1" applyBorder="1" applyAlignment="1">
      <alignment horizontal="center" vertical="center"/>
    </xf>
    <xf numFmtId="0" fontId="36" fillId="16" borderId="31" xfId="0" applyFont="1" applyFill="1" applyBorder="1" applyAlignment="1">
      <alignment horizontal="center" vertical="center"/>
    </xf>
    <xf numFmtId="0" fontId="37" fillId="15" borderId="118" xfId="0" applyFont="1" applyFill="1" applyBorder="1" applyAlignment="1">
      <alignment horizontal="center" vertical="center"/>
    </xf>
    <xf numFmtId="0" fontId="37" fillId="15" borderId="27" xfId="0" applyFont="1" applyFill="1" applyBorder="1" applyAlignment="1">
      <alignment horizontal="center" vertical="center"/>
    </xf>
    <xf numFmtId="0" fontId="36" fillId="0" borderId="24" xfId="0" applyFont="1" applyBorder="1" applyAlignment="1">
      <alignment horizontal="center" vertical="center"/>
    </xf>
    <xf numFmtId="0" fontId="36" fillId="16" borderId="27" xfId="0" applyFont="1" applyFill="1" applyBorder="1" applyAlignment="1">
      <alignment horizontal="center" vertical="center"/>
    </xf>
    <xf numFmtId="0" fontId="65" fillId="0" borderId="14" xfId="0" applyFont="1" applyBorder="1" applyAlignment="1">
      <alignment horizontal="center" vertical="center"/>
    </xf>
    <xf numFmtId="1" fontId="11" fillId="0" borderId="19" xfId="0" applyNumberFormat="1" applyFont="1" applyBorder="1" applyAlignment="1">
      <alignment horizontal="center" vertical="center"/>
    </xf>
    <xf numFmtId="0" fontId="65" fillId="0" borderId="1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71" fillId="4" borderId="9" xfId="0" applyFont="1" applyFill="1" applyBorder="1" applyAlignment="1">
      <alignment horizontal="center" vertical="center"/>
    </xf>
    <xf numFmtId="0" fontId="53" fillId="0" borderId="2" xfId="0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/>
    </xf>
    <xf numFmtId="0" fontId="26" fillId="3" borderId="4" xfId="0" applyFont="1" applyFill="1" applyBorder="1" applyAlignment="1">
      <alignment horizontal="center" vertical="center"/>
    </xf>
    <xf numFmtId="0" fontId="26" fillId="3" borderId="6" xfId="0" applyFont="1" applyFill="1" applyBorder="1" applyAlignment="1">
      <alignment horizontal="center" vertical="center"/>
    </xf>
    <xf numFmtId="0" fontId="26" fillId="3" borderId="3" xfId="0" applyFont="1" applyFill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53" fillId="0" borderId="4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/>
    </xf>
    <xf numFmtId="0" fontId="53" fillId="0" borderId="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5" fillId="0" borderId="103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2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24" fillId="0" borderId="121" xfId="0" applyFont="1" applyBorder="1" applyAlignment="1">
      <alignment horizontal="center" vertical="center"/>
    </xf>
    <xf numFmtId="0" fontId="24" fillId="0" borderId="135" xfId="0" applyFont="1" applyBorder="1" applyAlignment="1">
      <alignment horizontal="center" vertical="center"/>
    </xf>
    <xf numFmtId="0" fontId="7" fillId="0" borderId="83" xfId="0" applyFont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24" fillId="0" borderId="52" xfId="0" applyFont="1" applyBorder="1" applyAlignment="1">
      <alignment horizontal="center" vertical="center"/>
    </xf>
    <xf numFmtId="0" fontId="7" fillId="0" borderId="103" xfId="0" applyFont="1" applyBorder="1" applyAlignment="1">
      <alignment horizontal="center" vertical="center"/>
    </xf>
    <xf numFmtId="0" fontId="7" fillId="0" borderId="170" xfId="0" applyFont="1" applyBorder="1" applyAlignment="1">
      <alignment horizontal="center" vertical="center"/>
    </xf>
    <xf numFmtId="0" fontId="24" fillId="0" borderId="171" xfId="0" applyFont="1" applyBorder="1" applyAlignment="1">
      <alignment horizontal="center" vertical="center"/>
    </xf>
    <xf numFmtId="0" fontId="24" fillId="0" borderId="103" xfId="0" applyFont="1" applyBorder="1" applyAlignment="1">
      <alignment horizontal="center" vertical="center"/>
    </xf>
    <xf numFmtId="0" fontId="47" fillId="0" borderId="105" xfId="0" applyFont="1" applyBorder="1" applyAlignment="1">
      <alignment horizontal="center" vertical="center"/>
    </xf>
    <xf numFmtId="0" fontId="47" fillId="0" borderId="100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/>
    </xf>
    <xf numFmtId="0" fontId="7" fillId="0" borderId="100" xfId="0" applyFont="1" applyBorder="1" applyAlignment="1">
      <alignment horizontal="center" vertical="center"/>
    </xf>
    <xf numFmtId="0" fontId="24" fillId="0" borderId="53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7" fillId="0" borderId="120" xfId="0" applyFont="1" applyBorder="1" applyAlignment="1">
      <alignment horizontal="center" vertical="center"/>
    </xf>
    <xf numFmtId="0" fontId="7" fillId="0" borderId="87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4" fillId="0" borderId="60" xfId="0" applyFont="1" applyBorder="1" applyAlignment="1">
      <alignment horizontal="center" vertical="center"/>
    </xf>
    <xf numFmtId="0" fontId="24" fillId="0" borderId="88" xfId="0" applyFont="1" applyBorder="1" applyAlignment="1">
      <alignment horizontal="center" vertical="center"/>
    </xf>
    <xf numFmtId="0" fontId="47" fillId="0" borderId="104" xfId="0" applyFont="1" applyBorder="1" applyAlignment="1">
      <alignment horizontal="center" vertical="center"/>
    </xf>
    <xf numFmtId="0" fontId="47" fillId="0" borderId="86" xfId="0" applyFont="1" applyBorder="1" applyAlignment="1">
      <alignment horizontal="center" vertical="center"/>
    </xf>
    <xf numFmtId="0" fontId="24" fillId="0" borderId="96" xfId="0" applyFont="1" applyBorder="1" applyAlignment="1">
      <alignment horizontal="center" vertical="center"/>
    </xf>
    <xf numFmtId="0" fontId="24" fillId="0" borderId="13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4" fillId="0" borderId="0" xfId="1" applyFont="1" applyFill="1" applyBorder="1" applyAlignment="1">
      <alignment horizontal="center" vertical="center" wrapText="1"/>
    </xf>
    <xf numFmtId="0" fontId="25" fillId="0" borderId="105" xfId="0" applyFont="1" applyBorder="1" applyAlignment="1">
      <alignment horizontal="center" vertical="center"/>
    </xf>
    <xf numFmtId="0" fontId="25" fillId="0" borderId="100" xfId="0" applyFont="1" applyBorder="1" applyAlignment="1">
      <alignment horizontal="center" vertical="center"/>
    </xf>
    <xf numFmtId="0" fontId="24" fillId="0" borderId="173" xfId="0" applyFont="1" applyBorder="1" applyAlignment="1">
      <alignment horizontal="center" vertical="center"/>
    </xf>
    <xf numFmtId="0" fontId="19" fillId="0" borderId="158" xfId="0" applyFont="1" applyBorder="1" applyAlignment="1">
      <alignment horizontal="center" vertical="center"/>
    </xf>
    <xf numFmtId="0" fontId="25" fillId="0" borderId="105" xfId="2" applyFont="1" applyFill="1" applyBorder="1" applyAlignment="1">
      <alignment horizontal="center" vertical="center"/>
    </xf>
    <xf numFmtId="0" fontId="25" fillId="0" borderId="100" xfId="2" applyFont="1" applyFill="1" applyBorder="1" applyAlignment="1">
      <alignment horizontal="center" vertical="center"/>
    </xf>
    <xf numFmtId="0" fontId="7" fillId="0" borderId="137" xfId="0" applyFont="1" applyBorder="1" applyAlignment="1">
      <alignment horizontal="center" vertical="center"/>
    </xf>
    <xf numFmtId="0" fontId="7" fillId="0" borderId="184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24" fillId="0" borderId="166" xfId="0" applyFont="1" applyBorder="1" applyAlignment="1">
      <alignment horizontal="center" vertical="center"/>
    </xf>
    <xf numFmtId="0" fontId="24" fillId="0" borderId="167" xfId="0" applyFont="1" applyBorder="1" applyAlignment="1">
      <alignment horizontal="center" vertical="center"/>
    </xf>
    <xf numFmtId="0" fontId="25" fillId="0" borderId="136" xfId="0" applyFont="1" applyBorder="1" applyAlignment="1">
      <alignment horizontal="center" vertical="center"/>
    </xf>
    <xf numFmtId="0" fontId="25" fillId="0" borderId="185" xfId="0" applyFont="1" applyBorder="1" applyAlignment="1">
      <alignment horizontal="center" vertical="center"/>
    </xf>
    <xf numFmtId="0" fontId="24" fillId="0" borderId="206" xfId="0" applyFont="1" applyBorder="1" applyAlignment="1">
      <alignment horizontal="center" vertical="center"/>
    </xf>
    <xf numFmtId="0" fontId="24" fillId="0" borderId="205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19" fillId="3" borderId="49" xfId="0" applyFont="1" applyFill="1" applyBorder="1" applyAlignment="1">
      <alignment horizontal="center" vertical="center"/>
    </xf>
    <xf numFmtId="0" fontId="19" fillId="3" borderId="65" xfId="0" applyFont="1" applyFill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4" fillId="3" borderId="47" xfId="0" applyFont="1" applyFill="1" applyBorder="1" applyAlignment="1">
      <alignment horizontal="center" vertical="center"/>
    </xf>
    <xf numFmtId="0" fontId="24" fillId="3" borderId="68" xfId="0" applyFont="1" applyFill="1" applyBorder="1" applyAlignment="1">
      <alignment horizontal="center" vertical="center"/>
    </xf>
    <xf numFmtId="0" fontId="25" fillId="0" borderId="151" xfId="0" applyFont="1" applyBorder="1" applyAlignment="1">
      <alignment horizontal="center" vertical="center"/>
    </xf>
    <xf numFmtId="0" fontId="25" fillId="0" borderId="183" xfId="0" applyFont="1" applyBorder="1" applyAlignment="1">
      <alignment horizontal="center" vertical="center"/>
    </xf>
    <xf numFmtId="0" fontId="24" fillId="0" borderId="182" xfId="0" applyFont="1" applyBorder="1" applyAlignment="1">
      <alignment horizontal="center" vertical="center"/>
    </xf>
    <xf numFmtId="0" fontId="24" fillId="0" borderId="15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0" fillId="0" borderId="34" xfId="1" applyFont="1" applyFill="1" applyBorder="1" applyAlignment="1">
      <alignment horizontal="center" vertical="center" wrapText="1"/>
    </xf>
    <xf numFmtId="0" fontId="10" fillId="0" borderId="58" xfId="1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23" fillId="0" borderId="59" xfId="1" applyFont="1" applyFill="1" applyBorder="1" applyAlignment="1">
      <alignment horizontal="center" vertical="center" wrapText="1"/>
    </xf>
    <xf numFmtId="0" fontId="23" fillId="0" borderId="9" xfId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68" xfId="0" applyFont="1" applyBorder="1" applyAlignment="1">
      <alignment horizontal="center" vertical="center"/>
    </xf>
    <xf numFmtId="0" fontId="24" fillId="0" borderId="169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7" fillId="0" borderId="96" xfId="0" applyFont="1" applyBorder="1" applyAlignment="1">
      <alignment horizontal="center" vertical="center"/>
    </xf>
    <xf numFmtId="0" fontId="7" fillId="0" borderId="121" xfId="0" applyFont="1" applyBorder="1" applyAlignment="1">
      <alignment horizontal="center" vertical="center"/>
    </xf>
    <xf numFmtId="0" fontId="7" fillId="0" borderId="165" xfId="0" applyFont="1" applyBorder="1" applyAlignment="1">
      <alignment horizontal="center" vertical="center"/>
    </xf>
    <xf numFmtId="0" fontId="24" fillId="0" borderId="124" xfId="0" applyFont="1" applyBorder="1" applyAlignment="1">
      <alignment horizontal="center" vertical="center"/>
    </xf>
    <xf numFmtId="0" fontId="7" fillId="0" borderId="67" xfId="0" applyFont="1" applyBorder="1" applyAlignment="1">
      <alignment horizontal="center" vertical="center"/>
    </xf>
    <xf numFmtId="0" fontId="7" fillId="0" borderId="166" xfId="0" applyFont="1" applyBorder="1" applyAlignment="1">
      <alignment horizontal="center" vertical="center"/>
    </xf>
    <xf numFmtId="0" fontId="24" fillId="0" borderId="55" xfId="0" applyFont="1" applyBorder="1" applyAlignment="1">
      <alignment horizontal="center" vertical="center"/>
    </xf>
    <xf numFmtId="0" fontId="47" fillId="0" borderId="96" xfId="0" applyFont="1" applyBorder="1" applyAlignment="1">
      <alignment horizontal="center" vertical="center"/>
    </xf>
    <xf numFmtId="0" fontId="24" fillId="0" borderId="132" xfId="0" applyFont="1" applyBorder="1" applyAlignment="1">
      <alignment horizontal="center" vertical="center"/>
    </xf>
    <xf numFmtId="0" fontId="47" fillId="0" borderId="95" xfId="0" applyFont="1" applyBorder="1" applyAlignment="1">
      <alignment horizontal="center" vertical="center"/>
    </xf>
    <xf numFmtId="0" fontId="24" fillId="0" borderId="131" xfId="0" applyFont="1" applyBorder="1" applyAlignment="1">
      <alignment horizontal="center" vertical="center"/>
    </xf>
    <xf numFmtId="0" fontId="25" fillId="0" borderId="101" xfId="0" applyFont="1" applyBorder="1" applyAlignment="1">
      <alignment horizontal="center" vertical="center"/>
    </xf>
    <xf numFmtId="0" fontId="7" fillId="0" borderId="156" xfId="0" applyFont="1" applyBorder="1" applyAlignment="1">
      <alignment horizontal="center" vertical="center"/>
    </xf>
    <xf numFmtId="0" fontId="24" fillId="0" borderId="157" xfId="0" applyFont="1" applyBorder="1" applyAlignment="1">
      <alignment horizontal="center" vertical="center"/>
    </xf>
    <xf numFmtId="0" fontId="25" fillId="0" borderId="104" xfId="2" applyFont="1" applyFill="1" applyBorder="1" applyAlignment="1">
      <alignment horizontal="center" vertical="center"/>
    </xf>
    <xf numFmtId="0" fontId="7" fillId="0" borderId="95" xfId="2" applyFont="1" applyFill="1" applyBorder="1" applyAlignment="1">
      <alignment horizontal="center" vertical="center"/>
    </xf>
    <xf numFmtId="0" fontId="7" fillId="0" borderId="159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7" fillId="0" borderId="160" xfId="0" applyFont="1" applyBorder="1" applyAlignment="1">
      <alignment horizontal="center" vertical="center"/>
    </xf>
    <xf numFmtId="0" fontId="24" fillId="0" borderId="161" xfId="0" applyFont="1" applyBorder="1" applyAlignment="1">
      <alignment horizontal="center" vertical="center"/>
    </xf>
    <xf numFmtId="0" fontId="24" fillId="0" borderId="123" xfId="0" applyFont="1" applyBorder="1" applyAlignment="1">
      <alignment horizontal="center" vertical="center"/>
    </xf>
    <xf numFmtId="0" fontId="25" fillId="0" borderId="147" xfId="0" applyFont="1" applyBorder="1" applyAlignment="1">
      <alignment horizontal="center" vertical="center"/>
    </xf>
    <xf numFmtId="0" fontId="24" fillId="0" borderId="130" xfId="0" applyFont="1" applyBorder="1" applyAlignment="1">
      <alignment horizontal="center" vertical="center"/>
    </xf>
    <xf numFmtId="0" fontId="24" fillId="0" borderId="133" xfId="0" applyFont="1" applyBorder="1" applyAlignment="1">
      <alignment horizontal="center" vertical="center"/>
    </xf>
    <xf numFmtId="0" fontId="25" fillId="0" borderId="152" xfId="0" applyFont="1" applyBorder="1" applyAlignment="1">
      <alignment horizontal="center" vertical="center"/>
    </xf>
    <xf numFmtId="0" fontId="24" fillId="0" borderId="153" xfId="0" applyFont="1" applyBorder="1" applyAlignment="1">
      <alignment horizontal="center" vertical="center"/>
    </xf>
    <xf numFmtId="0" fontId="7" fillId="0" borderId="72" xfId="0" applyFont="1" applyBorder="1" applyAlignment="1">
      <alignment horizontal="center" vertical="center"/>
    </xf>
    <xf numFmtId="0" fontId="24" fillId="0" borderId="122" xfId="0" applyFont="1" applyBorder="1" applyAlignment="1">
      <alignment horizontal="center" vertical="center"/>
    </xf>
    <xf numFmtId="0" fontId="24" fillId="0" borderId="181" xfId="0" applyFont="1" applyBorder="1" applyAlignment="1">
      <alignment horizontal="center" vertical="center"/>
    </xf>
    <xf numFmtId="0" fontId="24" fillId="0" borderId="172" xfId="0" applyFont="1" applyBorder="1" applyAlignment="1">
      <alignment horizontal="center" vertical="center"/>
    </xf>
    <xf numFmtId="0" fontId="24" fillId="0" borderId="176" xfId="0" applyFont="1" applyBorder="1" applyAlignment="1">
      <alignment horizontal="center" vertical="center"/>
    </xf>
    <xf numFmtId="0" fontId="24" fillId="0" borderId="180" xfId="0" applyFont="1" applyBorder="1" applyAlignment="1">
      <alignment horizontal="center" vertical="center"/>
    </xf>
    <xf numFmtId="0" fontId="24" fillId="0" borderId="175" xfId="0" applyFont="1" applyBorder="1" applyAlignment="1">
      <alignment horizontal="center" vertical="center"/>
    </xf>
    <xf numFmtId="0" fontId="25" fillId="0" borderId="97" xfId="0" applyFont="1" applyBorder="1" applyAlignment="1">
      <alignment horizontal="center" vertical="center"/>
    </xf>
    <xf numFmtId="0" fontId="25" fillId="0" borderId="98" xfId="0" applyFont="1" applyBorder="1" applyAlignment="1">
      <alignment horizontal="center" vertical="center"/>
    </xf>
    <xf numFmtId="0" fontId="19" fillId="0" borderId="174" xfId="0" applyFont="1" applyBorder="1" applyAlignment="1">
      <alignment horizontal="center" vertical="center"/>
    </xf>
    <xf numFmtId="0" fontId="24" fillId="0" borderId="177" xfId="0" applyFont="1" applyBorder="1" applyAlignment="1">
      <alignment horizontal="center" vertical="center"/>
    </xf>
    <xf numFmtId="0" fontId="24" fillId="0" borderId="178" xfId="0" applyFont="1" applyBorder="1" applyAlignment="1">
      <alignment horizontal="center" vertical="center"/>
    </xf>
    <xf numFmtId="0" fontId="24" fillId="0" borderId="179" xfId="0" applyFont="1" applyBorder="1" applyAlignment="1">
      <alignment horizontal="center" vertical="center"/>
    </xf>
    <xf numFmtId="0" fontId="53" fillId="0" borderId="15" xfId="0" applyFont="1" applyBorder="1" applyAlignment="1">
      <alignment horizontal="center" vertical="center" wrapText="1"/>
    </xf>
    <xf numFmtId="0" fontId="18" fillId="0" borderId="23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26" fillId="0" borderId="49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46" fillId="3" borderId="15" xfId="0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28" fillId="0" borderId="207" xfId="0" applyFont="1" applyBorder="1" applyAlignment="1">
      <alignment horizontal="center" vertical="center"/>
    </xf>
    <xf numFmtId="0" fontId="28" fillId="0" borderId="122" xfId="0" applyFont="1" applyBorder="1" applyAlignment="1">
      <alignment horizontal="center" vertical="center"/>
    </xf>
    <xf numFmtId="0" fontId="61" fillId="0" borderId="208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/>
    </xf>
    <xf numFmtId="0" fontId="61" fillId="0" borderId="207" xfId="0" applyFont="1" applyBorder="1" applyAlignment="1">
      <alignment horizontal="center" vertical="center"/>
    </xf>
    <xf numFmtId="0" fontId="61" fillId="0" borderId="103" xfId="0" applyFont="1" applyBorder="1" applyAlignment="1">
      <alignment horizontal="center" vertical="center"/>
    </xf>
    <xf numFmtId="0" fontId="61" fillId="0" borderId="18" xfId="0" applyFont="1" applyBorder="1" applyAlignment="1">
      <alignment horizontal="center" vertical="center"/>
    </xf>
    <xf numFmtId="0" fontId="61" fillId="0" borderId="122" xfId="0" applyFont="1" applyBorder="1" applyAlignment="1">
      <alignment horizontal="center" vertical="center"/>
    </xf>
    <xf numFmtId="0" fontId="24" fillId="0" borderId="15" xfId="0" applyFont="1" applyBorder="1" applyAlignment="1">
      <alignment horizontal="center" vertical="center"/>
    </xf>
    <xf numFmtId="0" fontId="24" fillId="0" borderId="62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50" fillId="0" borderId="14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/>
    </xf>
    <xf numFmtId="0" fontId="18" fillId="0" borderId="85" xfId="0" applyFont="1" applyBorder="1" applyAlignment="1">
      <alignment horizontal="center" vertical="center"/>
    </xf>
    <xf numFmtId="0" fontId="18" fillId="0" borderId="63" xfId="0" applyFont="1" applyBorder="1" applyAlignment="1">
      <alignment horizontal="center" vertical="center"/>
    </xf>
    <xf numFmtId="0" fontId="24" fillId="0" borderId="63" xfId="0" applyFont="1" applyBorder="1" applyAlignment="1">
      <alignment horizontal="center" vertical="center"/>
    </xf>
    <xf numFmtId="0" fontId="24" fillId="0" borderId="74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4" fillId="0" borderId="17" xfId="0" applyFont="1" applyBorder="1" applyAlignment="1">
      <alignment horizontal="center" vertical="center"/>
    </xf>
    <xf numFmtId="0" fontId="24" fillId="0" borderId="73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24" fillId="0" borderId="23" xfId="0" applyFont="1" applyBorder="1" applyAlignment="1">
      <alignment horizontal="center" vertical="center"/>
    </xf>
    <xf numFmtId="0" fontId="24" fillId="0" borderId="75" xfId="0" applyFont="1" applyBorder="1" applyAlignment="1">
      <alignment horizontal="center" vertical="center"/>
    </xf>
    <xf numFmtId="0" fontId="50" fillId="0" borderId="29" xfId="0" applyFont="1" applyBorder="1" applyAlignment="1">
      <alignment horizontal="center" vertical="center"/>
    </xf>
    <xf numFmtId="0" fontId="50" fillId="0" borderId="27" xfId="0" applyFont="1" applyBorder="1" applyAlignment="1">
      <alignment horizontal="center" vertical="center"/>
    </xf>
    <xf numFmtId="0" fontId="24" fillId="0" borderId="27" xfId="0" applyFont="1" applyBorder="1" applyAlignment="1">
      <alignment horizontal="center" vertical="center"/>
    </xf>
    <xf numFmtId="0" fontId="24" fillId="0" borderId="68" xfId="0" applyFont="1" applyBorder="1" applyAlignment="1">
      <alignment horizontal="center" vertical="center"/>
    </xf>
    <xf numFmtId="0" fontId="70" fillId="0" borderId="14" xfId="0" applyFont="1" applyBorder="1" applyAlignment="1">
      <alignment horizontal="center" vertical="center"/>
    </xf>
    <xf numFmtId="0" fontId="70" fillId="0" borderId="15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70" fillId="0" borderId="14" xfId="2" applyFont="1" applyFill="1" applyBorder="1" applyAlignment="1">
      <alignment horizontal="center" vertical="center"/>
    </xf>
    <xf numFmtId="0" fontId="70" fillId="0" borderId="15" xfId="2" applyFont="1" applyFill="1" applyBorder="1" applyAlignment="1">
      <alignment horizontal="center" vertical="center"/>
    </xf>
    <xf numFmtId="0" fontId="70" fillId="0" borderId="29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70" fillId="0" borderId="11" xfId="0" applyFont="1" applyBorder="1" applyAlignment="1">
      <alignment horizontal="center" vertical="center"/>
    </xf>
    <xf numFmtId="0" fontId="70" fillId="0" borderId="12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65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9" fillId="3" borderId="12" xfId="0" applyFont="1" applyFill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4" fillId="3" borderId="17" xfId="0" applyFont="1" applyFill="1" applyBorder="1" applyAlignment="1">
      <alignment horizontal="center" vertical="center"/>
    </xf>
    <xf numFmtId="0" fontId="24" fillId="3" borderId="73" xfId="0" applyFont="1" applyFill="1" applyBorder="1" applyAlignment="1">
      <alignment horizontal="center" vertical="center"/>
    </xf>
    <xf numFmtId="0" fontId="70" fillId="0" borderId="24" xfId="0" applyFont="1" applyBorder="1" applyAlignment="1">
      <alignment horizontal="center" vertical="center"/>
    </xf>
    <xf numFmtId="0" fontId="70" fillId="0" borderId="23" xfId="0" applyFont="1" applyBorder="1" applyAlignment="1">
      <alignment horizontal="center" vertical="center"/>
    </xf>
    <xf numFmtId="0" fontId="10" fillId="0" borderId="209" xfId="1" applyFont="1" applyFill="1" applyBorder="1" applyAlignment="1">
      <alignment horizontal="center" vertical="center" wrapText="1"/>
    </xf>
    <xf numFmtId="0" fontId="23" fillId="0" borderId="92" xfId="1" applyFont="1" applyFill="1" applyBorder="1" applyAlignment="1">
      <alignment horizontal="center" vertical="center" wrapText="1"/>
    </xf>
    <xf numFmtId="0" fontId="23" fillId="0" borderId="61" xfId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9" fillId="0" borderId="91" xfId="0" applyFont="1" applyBorder="1" applyAlignment="1">
      <alignment horizontal="center" vertical="center"/>
    </xf>
  </cellXfs>
  <cellStyles count="3">
    <cellStyle name="보통" xfId="2" builtinId="28"/>
    <cellStyle name="출력" xfId="1" builtinId="21"/>
    <cellStyle name="표준" xfId="0" builtinId="0"/>
  </cellStyles>
  <dxfs count="152"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</dxfs>
  <tableStyles count="0" defaultTableStyle="TableStyleMedium9" defaultPivotStyle="PivotStyleLight16"/>
  <colors>
    <mruColors>
      <color rgb="FFDAEEF3"/>
      <color rgb="FF4F81BD"/>
      <color rgb="FFA9D08E"/>
      <color rgb="FF0000CC"/>
      <color rgb="FFD9D9D9"/>
      <color rgb="FFBFBFBF"/>
      <color rgb="FFFFFF66"/>
      <color rgb="FFFFD966"/>
      <color rgb="FF0099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exels.com/photo/2708934/" TargetMode="External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7C3D6678-CCDD-C446-BFE6-972E94168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1AD48342-6875-444C-9615-9556137847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243D33DE-0F7A-1B48-833B-C43BDDB942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EB6F4378-71D7-1C4B-A2E8-6521A5F4D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36503" cy="516705"/>
    <xdr:pic>
      <xdr:nvPicPr>
        <xdr:cNvPr id="2" name="그림 1">
          <a:extLst>
            <a:ext uri="{FF2B5EF4-FFF2-40B4-BE49-F238E27FC236}">
              <a16:creationId xmlns:a16="http://schemas.microsoft.com/office/drawing/2014/main" id="{C6189FF2-122B-6A4B-B56E-D5C7AECD6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36503" cy="516705"/>
        </a:xfrm>
        <a:prstGeom prst="rect">
          <a:avLst/>
        </a:prstGeom>
      </xdr:spPr>
    </xdr:pic>
    <xdr:clientData/>
  </xdr:oneCellAnchor>
  <xdr:oneCellAnchor>
    <xdr:from>
      <xdr:col>37</xdr:col>
      <xdr:colOff>19050</xdr:colOff>
      <xdr:row>27</xdr:row>
      <xdr:rowOff>9525</xdr:rowOff>
    </xdr:from>
    <xdr:ext cx="345528" cy="491613"/>
    <xdr:pic>
      <xdr:nvPicPr>
        <xdr:cNvPr id="3" name="그림 2">
          <a:extLst>
            <a:ext uri="{FF2B5EF4-FFF2-40B4-BE49-F238E27FC236}">
              <a16:creationId xmlns:a16="http://schemas.microsoft.com/office/drawing/2014/main" id="{E1C51931-17F8-6846-888C-E2F13E47E8F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3"/>
            </a:ext>
          </a:extLst>
        </a:blip>
        <a:srcRect l="26961" r="19485" b="9423"/>
        <a:stretch/>
      </xdr:blipFill>
      <xdr:spPr>
        <a:xfrm>
          <a:off x="9886950" y="5838825"/>
          <a:ext cx="345528" cy="49161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26&#4354;&#4455;&#4523;%20&#4352;&#4467;&#4523;&#4358;&#4462;&#4369;&#4461;(10&#4363;&#4463;&#4527;_ver3).xlsx" TargetMode="External"/><Relationship Id="rId2" Type="http://schemas.openxmlformats.org/officeDocument/2006/relationships/externalLinkPath" Target="/Users/jimmychoi/Downloads/26&#4354;&#4455;&#4523;%20&#4352;&#4467;&#4523;&#4358;&#4462;&#4369;&#4461;(10&#4363;&#4463;&#4527;_ver3).xlsx" TargetMode="External"/><Relationship Id="rId1" Type="http://schemas.openxmlformats.org/officeDocument/2006/relationships/externalLinkPath" Target="/Users/jimmychoi/Downloads/26&#4354;&#4455;&#4523;%20&#4352;&#4467;&#4523;&#4358;&#4462;&#4369;&#4461;(10&#4363;&#4463;&#4527;_ver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3층 근무편성표 (2)"/>
      <sheetName val="11월"/>
      <sheetName val="11월 출근부 "/>
      <sheetName val="3월"/>
      <sheetName val="3월 출근부"/>
      <sheetName val="25년 2월 출근부 (2)"/>
      <sheetName val="26년 3월 (2)"/>
      <sheetName val="4월"/>
      <sheetName val="4월 출근부"/>
      <sheetName val="5월"/>
      <sheetName val="5월 출근부"/>
      <sheetName val="6월"/>
      <sheetName val="6월 수거용"/>
      <sheetName val="7월"/>
      <sheetName val="7월 출근부"/>
      <sheetName val="8월 짭"/>
      <sheetName val="8월 드릴때"/>
      <sheetName val="9월 짭 (3)"/>
      <sheetName val="9월 짭"/>
      <sheetName val="9월 짭 (2)"/>
      <sheetName val="9월 출근부"/>
      <sheetName val="10월 조사"/>
      <sheetName val="10월"/>
      <sheetName val="10월 출근부"/>
      <sheetName val="8월 출근부"/>
      <sheetName val="23년 11월"/>
      <sheetName val="23년 12월"/>
      <sheetName val="23년12월 출근부"/>
      <sheetName val="24년 1월"/>
      <sheetName val="24년 1월 본"/>
      <sheetName val="3층 1월 근무편성표"/>
      <sheetName val="3층 2월 근무편성표"/>
      <sheetName val="3층 3월 근무편성표"/>
      <sheetName val="24년1월 출근부"/>
      <sheetName val="24년 2월 본"/>
      <sheetName val="24년 3월 본"/>
      <sheetName val="24년3월 출근부"/>
      <sheetName val="3층 4층 근무편성표"/>
      <sheetName val="24년4월 출근부"/>
      <sheetName val="24년 4월"/>
      <sheetName val="24년 4월 출근부"/>
      <sheetName val="24년 5월 출근부"/>
      <sheetName val="24년 7월"/>
      <sheetName val="24년 5월"/>
      <sheetName val="24년 6월 출근부"/>
      <sheetName val="24년 6월 본"/>
      <sheetName val="24년 7월 출근부"/>
      <sheetName val="24년 8월"/>
      <sheetName val="24년 8월 출근부"/>
      <sheetName val="24년 9월"/>
      <sheetName val="24년 9월 출근부"/>
      <sheetName val="24년 10월"/>
      <sheetName val="24년 11월"/>
      <sheetName val="24년 12월"/>
      <sheetName val="24년 12월 출근부"/>
      <sheetName val="25년 1월 출근부"/>
      <sheetName val="25년 1월"/>
      <sheetName val="25년 2월"/>
      <sheetName val="25년 3월"/>
      <sheetName val="25년 3월 출근부"/>
      <sheetName val="25년 4월"/>
      <sheetName val="25년 4월 출근부"/>
      <sheetName val="25년 5월"/>
      <sheetName val="25년 5월 조사"/>
      <sheetName val="25년 5월 출근부"/>
      <sheetName val="25년 6월"/>
      <sheetName val="25년 6월 출근부"/>
      <sheetName val="25년 7월"/>
      <sheetName val="25년 8월"/>
      <sheetName val="25년 9월"/>
      <sheetName val="25년 10월"/>
      <sheetName val="25년 10월 "/>
      <sheetName val="25년 11월"/>
      <sheetName val="25년 12월"/>
      <sheetName val="26년 1월"/>
      <sheetName val="26년 2월"/>
      <sheetName val="26년 3월"/>
      <sheetName val="26년 4월"/>
      <sheetName val="26년 5월"/>
      <sheetName val="26년 6월"/>
      <sheetName val="26년 7월"/>
      <sheetName val="26년 8월"/>
      <sheetName val="26년 9월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23" sqref="C23:D2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8" customWidth="1"/>
    <col min="12" max="24" width="3.6640625" style="1" customWidth="1"/>
    <col min="25" max="25" width="3.6640625" style="38" customWidth="1"/>
    <col min="26" max="28" width="3.6640625" style="1" customWidth="1"/>
    <col min="29" max="29" width="3.6640625" style="7" customWidth="1"/>
    <col min="30" max="30" width="3.6640625" style="41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9" customWidth="1"/>
    <col min="41" max="41" width="5.1640625" style="11" customWidth="1"/>
    <col min="42" max="42" width="9" style="12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18"/>
      <c r="B1" s="729" t="s">
        <v>189</v>
      </c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  <c r="AA1" s="729"/>
      <c r="AB1" s="729"/>
      <c r="AC1" s="729"/>
      <c r="AD1" s="729"/>
      <c r="AE1" s="729"/>
      <c r="AF1" s="729"/>
      <c r="AG1" s="729"/>
      <c r="AH1" s="729"/>
      <c r="AI1" s="729"/>
      <c r="AJ1" s="729"/>
      <c r="AK1" s="729"/>
      <c r="AL1" s="729"/>
      <c r="AM1" s="729"/>
      <c r="AN1" s="729"/>
      <c r="AO1" s="729"/>
    </row>
    <row r="2" spans="1:81" ht="22.5" customHeight="1">
      <c r="A2" s="1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29"/>
      <c r="AB2" s="729"/>
      <c r="AC2" s="729"/>
      <c r="AD2" s="729"/>
      <c r="AE2" s="729"/>
      <c r="AF2" s="729"/>
      <c r="AG2" s="729"/>
      <c r="AH2" s="729"/>
      <c r="AI2" s="729"/>
      <c r="AJ2" s="729"/>
      <c r="AK2" s="729"/>
      <c r="AL2" s="729"/>
      <c r="AM2" s="729"/>
      <c r="AN2" s="729"/>
      <c r="AO2" s="729"/>
    </row>
    <row r="3" spans="1:81" ht="22.5" customHeight="1">
      <c r="A3" s="18"/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R3" s="730"/>
      <c r="S3" s="730"/>
      <c r="T3" s="730"/>
      <c r="U3" s="730"/>
      <c r="V3" s="730"/>
      <c r="W3" s="730"/>
      <c r="X3" s="730"/>
      <c r="Y3" s="730"/>
      <c r="Z3" s="730"/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</row>
    <row r="4" spans="1:81" ht="25" customHeight="1">
      <c r="B4" s="731"/>
      <c r="C4" s="733" t="s">
        <v>6</v>
      </c>
      <c r="D4" s="734"/>
      <c r="E4" s="734"/>
      <c r="F4" s="735"/>
      <c r="G4" s="411">
        <v>1</v>
      </c>
      <c r="H4" s="412">
        <v>2</v>
      </c>
      <c r="I4" s="412">
        <v>3</v>
      </c>
      <c r="J4" s="412">
        <v>4</v>
      </c>
      <c r="K4" s="412">
        <v>5</v>
      </c>
      <c r="L4" s="127">
        <v>6</v>
      </c>
      <c r="M4" s="51">
        <v>7</v>
      </c>
      <c r="N4" s="412">
        <v>8</v>
      </c>
      <c r="O4" s="412">
        <v>9</v>
      </c>
      <c r="P4" s="412">
        <v>10</v>
      </c>
      <c r="Q4" s="412">
        <v>11</v>
      </c>
      <c r="R4" s="412">
        <v>12</v>
      </c>
      <c r="S4" s="127">
        <v>13</v>
      </c>
      <c r="T4" s="51">
        <v>14</v>
      </c>
      <c r="U4" s="412">
        <v>15</v>
      </c>
      <c r="V4" s="412">
        <v>16</v>
      </c>
      <c r="W4" s="412">
        <v>17</v>
      </c>
      <c r="X4" s="412">
        <v>18</v>
      </c>
      <c r="Y4" s="412">
        <v>19</v>
      </c>
      <c r="Z4" s="127">
        <v>20</v>
      </c>
      <c r="AA4" s="51">
        <v>21</v>
      </c>
      <c r="AB4" s="412">
        <v>22</v>
      </c>
      <c r="AC4" s="412">
        <v>23</v>
      </c>
      <c r="AD4" s="412">
        <v>24</v>
      </c>
      <c r="AE4" s="412">
        <v>25</v>
      </c>
      <c r="AF4" s="412">
        <v>26</v>
      </c>
      <c r="AG4" s="127">
        <v>27</v>
      </c>
      <c r="AH4" s="51">
        <v>28</v>
      </c>
      <c r="AI4" s="412">
        <v>29</v>
      </c>
      <c r="AJ4" s="412">
        <v>30</v>
      </c>
      <c r="AK4" s="413">
        <v>31</v>
      </c>
      <c r="AL4" s="736" t="s">
        <v>35</v>
      </c>
      <c r="AM4" s="737"/>
      <c r="AN4" s="737"/>
      <c r="AO4" s="738"/>
      <c r="AP4" s="10"/>
    </row>
    <row r="5" spans="1:81" ht="25" customHeight="1">
      <c r="B5" s="732"/>
      <c r="C5" s="739" t="s">
        <v>7</v>
      </c>
      <c r="D5" s="740"/>
      <c r="E5" s="741" t="s">
        <v>8</v>
      </c>
      <c r="F5" s="742"/>
      <c r="G5" s="251" t="s">
        <v>190</v>
      </c>
      <c r="H5" s="252" t="s">
        <v>76</v>
      </c>
      <c r="I5" s="252" t="s">
        <v>9</v>
      </c>
      <c r="J5" s="252" t="s">
        <v>10</v>
      </c>
      <c r="K5" s="252" t="s">
        <v>11</v>
      </c>
      <c r="L5" s="186" t="s">
        <v>12</v>
      </c>
      <c r="M5" s="188" t="s">
        <v>13</v>
      </c>
      <c r="N5" s="252" t="s">
        <v>14</v>
      </c>
      <c r="O5" s="252" t="s">
        <v>15</v>
      </c>
      <c r="P5" s="252" t="s">
        <v>9</v>
      </c>
      <c r="Q5" s="252" t="s">
        <v>10</v>
      </c>
      <c r="R5" s="252" t="s">
        <v>11</v>
      </c>
      <c r="S5" s="186" t="s">
        <v>12</v>
      </c>
      <c r="T5" s="188" t="s">
        <v>13</v>
      </c>
      <c r="U5" s="252" t="s">
        <v>14</v>
      </c>
      <c r="V5" s="252" t="s">
        <v>15</v>
      </c>
      <c r="W5" s="252" t="s">
        <v>9</v>
      </c>
      <c r="X5" s="252" t="s">
        <v>10</v>
      </c>
      <c r="Y5" s="252" t="s">
        <v>11</v>
      </c>
      <c r="Z5" s="186" t="s">
        <v>12</v>
      </c>
      <c r="AA5" s="188" t="s">
        <v>13</v>
      </c>
      <c r="AB5" s="252" t="s">
        <v>14</v>
      </c>
      <c r="AC5" s="252" t="s">
        <v>15</v>
      </c>
      <c r="AD5" s="252" t="s">
        <v>9</v>
      </c>
      <c r="AE5" s="252" t="s">
        <v>10</v>
      </c>
      <c r="AF5" s="252" t="s">
        <v>11</v>
      </c>
      <c r="AG5" s="186" t="s">
        <v>12</v>
      </c>
      <c r="AH5" s="188" t="s">
        <v>13</v>
      </c>
      <c r="AI5" s="252" t="s">
        <v>14</v>
      </c>
      <c r="AJ5" s="252" t="s">
        <v>15</v>
      </c>
      <c r="AK5" s="241"/>
      <c r="AL5" s="3" t="s">
        <v>0</v>
      </c>
      <c r="AM5" s="35" t="s">
        <v>2</v>
      </c>
      <c r="AN5" s="253" t="s">
        <v>1</v>
      </c>
      <c r="AO5" s="36" t="s">
        <v>16</v>
      </c>
      <c r="AP5" s="10"/>
    </row>
    <row r="6" spans="1:81" ht="22" customHeight="1">
      <c r="B6" s="353">
        <v>1</v>
      </c>
      <c r="C6" s="718" t="s">
        <v>191</v>
      </c>
      <c r="D6" s="719"/>
      <c r="E6" s="720" t="s">
        <v>34</v>
      </c>
      <c r="F6" s="721"/>
      <c r="G6" s="73" t="s">
        <v>205</v>
      </c>
      <c r="H6" s="39" t="s">
        <v>215</v>
      </c>
      <c r="I6" s="39" t="s">
        <v>215</v>
      </c>
      <c r="J6" s="39" t="s">
        <v>215</v>
      </c>
      <c r="K6" s="39" t="s">
        <v>218</v>
      </c>
      <c r="L6" s="48" t="s">
        <v>1</v>
      </c>
      <c r="M6" s="39" t="s">
        <v>43</v>
      </c>
      <c r="N6" s="39" t="s">
        <v>224</v>
      </c>
      <c r="O6" s="39" t="s">
        <v>219</v>
      </c>
      <c r="P6" s="39" t="s">
        <v>218</v>
      </c>
      <c r="Q6" s="39" t="s">
        <v>215</v>
      </c>
      <c r="R6" s="39" t="s">
        <v>215</v>
      </c>
      <c r="S6" s="48" t="s">
        <v>208</v>
      </c>
      <c r="T6" s="39" t="s">
        <v>21</v>
      </c>
      <c r="U6" s="39" t="s">
        <v>215</v>
      </c>
      <c r="V6" s="39" t="s">
        <v>224</v>
      </c>
      <c r="W6" s="39" t="s">
        <v>51</v>
      </c>
      <c r="X6" s="39" t="s">
        <v>219</v>
      </c>
      <c r="Y6" s="39" t="s">
        <v>215</v>
      </c>
      <c r="Z6" s="48" t="s">
        <v>21</v>
      </c>
      <c r="AA6" s="39" t="s">
        <v>21</v>
      </c>
      <c r="AB6" s="39" t="s">
        <v>215</v>
      </c>
      <c r="AC6" s="39" t="s">
        <v>215</v>
      </c>
      <c r="AD6" s="39" t="s">
        <v>215</v>
      </c>
      <c r="AE6" s="39" t="s">
        <v>215</v>
      </c>
      <c r="AF6" s="39" t="s">
        <v>215</v>
      </c>
      <c r="AG6" s="48" t="s">
        <v>21</v>
      </c>
      <c r="AH6" s="39" t="s">
        <v>21</v>
      </c>
      <c r="AI6" s="39" t="s">
        <v>219</v>
      </c>
      <c r="AJ6" s="39" t="s">
        <v>215</v>
      </c>
      <c r="AK6" s="88"/>
      <c r="AL6" s="55">
        <f t="shared" ref="AL6:AL25" si="0">COUNTIF(G6:AK6,"▲")</f>
        <v>0</v>
      </c>
      <c r="AM6" s="21">
        <f t="shared" ref="AM6:AM25" si="1">COUNTIF(G6:AK6,"D")</f>
        <v>22</v>
      </c>
      <c r="AN6" s="22">
        <f t="shared" ref="AN6:AN25" si="2">COUNTIF(G6:AK6,"●")</f>
        <v>8</v>
      </c>
      <c r="AO6" s="27">
        <f t="shared" ref="AO6:AO25" si="3">AN6+AL6</f>
        <v>8</v>
      </c>
      <c r="AP6" s="10"/>
    </row>
    <row r="7" spans="1:81" ht="21.75" customHeight="1">
      <c r="B7" s="54">
        <v>2</v>
      </c>
      <c r="C7" s="710" t="s">
        <v>22</v>
      </c>
      <c r="D7" s="722"/>
      <c r="E7" s="723" t="s">
        <v>23</v>
      </c>
      <c r="F7" s="724"/>
      <c r="G7" s="142" t="s">
        <v>205</v>
      </c>
      <c r="H7" s="93" t="s">
        <v>215</v>
      </c>
      <c r="I7" s="43" t="s">
        <v>215</v>
      </c>
      <c r="J7" s="43" t="s">
        <v>215</v>
      </c>
      <c r="K7" s="43" t="s">
        <v>215</v>
      </c>
      <c r="L7" s="43" t="s">
        <v>206</v>
      </c>
      <c r="M7" s="93" t="s">
        <v>21</v>
      </c>
      <c r="N7" s="43" t="s">
        <v>51</v>
      </c>
      <c r="O7" s="93" t="s">
        <v>238</v>
      </c>
      <c r="P7" s="43" t="s">
        <v>215</v>
      </c>
      <c r="Q7" s="43" t="s">
        <v>215</v>
      </c>
      <c r="R7" s="43" t="s">
        <v>218</v>
      </c>
      <c r="S7" s="93" t="s">
        <v>234</v>
      </c>
      <c r="T7" s="93" t="s">
        <v>21</v>
      </c>
      <c r="U7" s="43" t="s">
        <v>220</v>
      </c>
      <c r="V7" s="141" t="s">
        <v>21</v>
      </c>
      <c r="W7" s="43" t="s">
        <v>51</v>
      </c>
      <c r="X7" s="43" t="s">
        <v>221</v>
      </c>
      <c r="Y7" s="93" t="s">
        <v>215</v>
      </c>
      <c r="Z7" s="50" t="s">
        <v>21</v>
      </c>
      <c r="AA7" s="93" t="s">
        <v>21</v>
      </c>
      <c r="AB7" s="43" t="s">
        <v>222</v>
      </c>
      <c r="AC7" s="43" t="s">
        <v>215</v>
      </c>
      <c r="AD7" s="43" t="s">
        <v>218</v>
      </c>
      <c r="AE7" s="43" t="s">
        <v>218</v>
      </c>
      <c r="AF7" s="43" t="s">
        <v>234</v>
      </c>
      <c r="AG7" s="50" t="s">
        <v>235</v>
      </c>
      <c r="AH7" s="93" t="s">
        <v>21</v>
      </c>
      <c r="AI7" s="50" t="s">
        <v>21</v>
      </c>
      <c r="AJ7" s="43" t="s">
        <v>298</v>
      </c>
      <c r="AK7" s="132"/>
      <c r="AL7" s="221">
        <f t="shared" si="0"/>
        <v>0</v>
      </c>
      <c r="AM7" s="260">
        <f t="shared" si="1"/>
        <v>22</v>
      </c>
      <c r="AN7" s="32">
        <f t="shared" si="2"/>
        <v>8</v>
      </c>
      <c r="AO7" s="167">
        <f t="shared" si="3"/>
        <v>8</v>
      </c>
      <c r="AP7" s="10"/>
      <c r="AT7"/>
    </row>
    <row r="8" spans="1:81" ht="22" customHeight="1">
      <c r="B8" s="353">
        <v>3</v>
      </c>
      <c r="C8" s="725" t="s">
        <v>36</v>
      </c>
      <c r="D8" s="772"/>
      <c r="E8" s="773" t="s">
        <v>37</v>
      </c>
      <c r="F8" s="728"/>
      <c r="G8" s="76" t="s">
        <v>54</v>
      </c>
      <c r="H8" s="170" t="s">
        <v>21</v>
      </c>
      <c r="I8" s="71" t="s">
        <v>237</v>
      </c>
      <c r="J8" s="71" t="s">
        <v>198</v>
      </c>
      <c r="K8" s="71" t="s">
        <v>218</v>
      </c>
      <c r="L8" s="71" t="s">
        <v>205</v>
      </c>
      <c r="M8" s="71" t="s">
        <v>21</v>
      </c>
      <c r="N8" s="170" t="s">
        <v>21</v>
      </c>
      <c r="O8" s="71" t="s">
        <v>214</v>
      </c>
      <c r="P8" s="71" t="s">
        <v>229</v>
      </c>
      <c r="Q8" s="71" t="s">
        <v>229</v>
      </c>
      <c r="R8" s="71" t="s">
        <v>230</v>
      </c>
      <c r="S8" s="71" t="s">
        <v>205</v>
      </c>
      <c r="T8" s="71" t="s">
        <v>21</v>
      </c>
      <c r="U8" s="71" t="s">
        <v>229</v>
      </c>
      <c r="V8" s="71" t="s">
        <v>229</v>
      </c>
      <c r="W8" s="71" t="s">
        <v>229</v>
      </c>
      <c r="X8" s="170" t="s">
        <v>21</v>
      </c>
      <c r="Y8" s="71" t="s">
        <v>229</v>
      </c>
      <c r="Z8" s="71" t="s">
        <v>209</v>
      </c>
      <c r="AA8" s="71" t="s">
        <v>21</v>
      </c>
      <c r="AB8" s="71" t="s">
        <v>229</v>
      </c>
      <c r="AC8" s="71" t="s">
        <v>229</v>
      </c>
      <c r="AD8" s="71" t="s">
        <v>229</v>
      </c>
      <c r="AE8" s="177" t="s">
        <v>21</v>
      </c>
      <c r="AF8" s="71" t="s">
        <v>229</v>
      </c>
      <c r="AG8" s="71" t="s">
        <v>205</v>
      </c>
      <c r="AH8" s="71" t="s">
        <v>21</v>
      </c>
      <c r="AI8" s="71" t="s">
        <v>229</v>
      </c>
      <c r="AJ8" s="42" t="s">
        <v>229</v>
      </c>
      <c r="AK8" s="247"/>
      <c r="AL8" s="55">
        <f t="shared" si="0"/>
        <v>0</v>
      </c>
      <c r="AM8" s="21">
        <f t="shared" si="1"/>
        <v>22</v>
      </c>
      <c r="AN8" s="22">
        <f t="shared" si="2"/>
        <v>8</v>
      </c>
      <c r="AO8" s="27">
        <f t="shared" si="3"/>
        <v>8</v>
      </c>
      <c r="AP8" s="10" t="s">
        <v>183</v>
      </c>
      <c r="AR8"/>
    </row>
    <row r="9" spans="1:81" ht="22" customHeight="1">
      <c r="A9" s="701"/>
      <c r="B9" s="20">
        <v>4</v>
      </c>
      <c r="C9" s="759" t="s">
        <v>33</v>
      </c>
      <c r="D9" s="760"/>
      <c r="E9" s="761" t="s">
        <v>24</v>
      </c>
      <c r="F9" s="705"/>
      <c r="G9" s="58" t="s">
        <v>54</v>
      </c>
      <c r="H9" s="257" t="s">
        <v>218</v>
      </c>
      <c r="I9" s="40" t="s">
        <v>218</v>
      </c>
      <c r="J9" s="59" t="s">
        <v>198</v>
      </c>
      <c r="K9" s="59" t="s">
        <v>215</v>
      </c>
      <c r="L9" s="137" t="s">
        <v>21</v>
      </c>
      <c r="M9" s="59" t="s">
        <v>21</v>
      </c>
      <c r="N9" s="40" t="s">
        <v>215</v>
      </c>
      <c r="O9" s="40" t="s">
        <v>214</v>
      </c>
      <c r="P9" s="40" t="s">
        <v>229</v>
      </c>
      <c r="Q9" s="57" t="s">
        <v>228</v>
      </c>
      <c r="R9" s="40" t="s">
        <v>219</v>
      </c>
      <c r="S9" s="40" t="s">
        <v>217</v>
      </c>
      <c r="T9" s="59" t="s">
        <v>21</v>
      </c>
      <c r="U9" s="40" t="s">
        <v>219</v>
      </c>
      <c r="V9" s="59" t="s">
        <v>215</v>
      </c>
      <c r="W9" s="40" t="s">
        <v>219</v>
      </c>
      <c r="X9" s="40" t="s">
        <v>215</v>
      </c>
      <c r="Y9" s="59" t="s">
        <v>219</v>
      </c>
      <c r="Z9" s="137" t="s">
        <v>208</v>
      </c>
      <c r="AA9" s="59" t="s">
        <v>21</v>
      </c>
      <c r="AB9" s="40" t="s">
        <v>222</v>
      </c>
      <c r="AC9" s="59" t="s">
        <v>232</v>
      </c>
      <c r="AD9" s="40" t="s">
        <v>219</v>
      </c>
      <c r="AE9" s="114" t="s">
        <v>21</v>
      </c>
      <c r="AF9" s="59" t="s">
        <v>219</v>
      </c>
      <c r="AG9" s="40" t="s">
        <v>205</v>
      </c>
      <c r="AH9" s="59" t="s">
        <v>21</v>
      </c>
      <c r="AI9" s="40" t="s">
        <v>219</v>
      </c>
      <c r="AJ9" s="59" t="s">
        <v>215</v>
      </c>
      <c r="AK9" s="65"/>
      <c r="AL9" s="30">
        <f t="shared" si="0"/>
        <v>0</v>
      </c>
      <c r="AM9" s="25">
        <f t="shared" si="1"/>
        <v>22</v>
      </c>
      <c r="AN9" s="26">
        <f t="shared" si="2"/>
        <v>8</v>
      </c>
      <c r="AO9" s="29">
        <f t="shared" si="3"/>
        <v>8</v>
      </c>
      <c r="AP9" s="10"/>
      <c r="AR9" t="s">
        <v>168</v>
      </c>
      <c r="AS9" t="s">
        <v>169</v>
      </c>
      <c r="AT9" t="s">
        <v>170</v>
      </c>
    </row>
    <row r="10" spans="1:81" ht="22" customHeight="1">
      <c r="A10" s="701"/>
      <c r="B10" s="20">
        <v>5</v>
      </c>
      <c r="C10" s="762" t="s">
        <v>46</v>
      </c>
      <c r="D10" s="763"/>
      <c r="E10" s="758" t="s">
        <v>24</v>
      </c>
      <c r="F10" s="699"/>
      <c r="G10" s="70" t="s">
        <v>54</v>
      </c>
      <c r="H10" s="40" t="s">
        <v>236</v>
      </c>
      <c r="I10" s="40" t="s">
        <v>218</v>
      </c>
      <c r="J10" s="40" t="s">
        <v>198</v>
      </c>
      <c r="K10" s="40" t="s">
        <v>205</v>
      </c>
      <c r="L10" s="40" t="s">
        <v>215</v>
      </c>
      <c r="M10" s="40" t="s">
        <v>21</v>
      </c>
      <c r="N10" s="57" t="s">
        <v>1</v>
      </c>
      <c r="O10" s="40" t="s">
        <v>215</v>
      </c>
      <c r="P10" s="40" t="s">
        <v>215</v>
      </c>
      <c r="Q10" s="40" t="s">
        <v>218</v>
      </c>
      <c r="R10" s="40" t="s">
        <v>301</v>
      </c>
      <c r="S10" s="57" t="s">
        <v>21</v>
      </c>
      <c r="T10" s="40" t="s">
        <v>21</v>
      </c>
      <c r="U10" s="40" t="s">
        <v>215</v>
      </c>
      <c r="V10" s="59" t="s">
        <v>215</v>
      </c>
      <c r="W10" s="40" t="s">
        <v>219</v>
      </c>
      <c r="X10" s="40" t="s">
        <v>215</v>
      </c>
      <c r="Y10" s="40" t="s">
        <v>215</v>
      </c>
      <c r="Z10" s="57" t="s">
        <v>216</v>
      </c>
      <c r="AA10" s="40" t="s">
        <v>21</v>
      </c>
      <c r="AB10" s="40" t="s">
        <v>214</v>
      </c>
      <c r="AC10" s="59" t="s">
        <v>215</v>
      </c>
      <c r="AD10" s="40" t="s">
        <v>215</v>
      </c>
      <c r="AE10" s="40" t="s">
        <v>218</v>
      </c>
      <c r="AF10" s="59" t="s">
        <v>215</v>
      </c>
      <c r="AG10" s="137" t="s">
        <v>21</v>
      </c>
      <c r="AH10" s="40" t="s">
        <v>21</v>
      </c>
      <c r="AI10" s="40" t="s">
        <v>218</v>
      </c>
      <c r="AJ10" s="59" t="s">
        <v>218</v>
      </c>
      <c r="AK10" s="65"/>
      <c r="AL10" s="30">
        <f t="shared" si="0"/>
        <v>0</v>
      </c>
      <c r="AM10" s="25">
        <f t="shared" si="1"/>
        <v>22</v>
      </c>
      <c r="AN10" s="26">
        <f t="shared" si="2"/>
        <v>8</v>
      </c>
      <c r="AO10" s="29">
        <f t="shared" si="3"/>
        <v>8</v>
      </c>
      <c r="AP10" s="238"/>
      <c r="AR10">
        <v>112</v>
      </c>
    </row>
    <row r="11" spans="1:81" ht="22" customHeight="1">
      <c r="A11" s="701"/>
      <c r="B11" s="20">
        <v>6</v>
      </c>
      <c r="C11" s="708" t="s">
        <v>167</v>
      </c>
      <c r="D11" s="764"/>
      <c r="E11" s="756" t="s">
        <v>32</v>
      </c>
      <c r="F11" s="674"/>
      <c r="G11" s="58" t="s">
        <v>54</v>
      </c>
      <c r="H11" s="40" t="s">
        <v>215</v>
      </c>
      <c r="I11" s="59" t="s">
        <v>215</v>
      </c>
      <c r="J11" s="59" t="s">
        <v>198</v>
      </c>
      <c r="K11" s="114" t="s">
        <v>21</v>
      </c>
      <c r="L11" s="59" t="s">
        <v>215</v>
      </c>
      <c r="M11" s="59" t="s">
        <v>21</v>
      </c>
      <c r="N11" s="59" t="s">
        <v>218</v>
      </c>
      <c r="O11" s="59" t="s">
        <v>215</v>
      </c>
      <c r="P11" s="59" t="s">
        <v>214</v>
      </c>
      <c r="Q11" s="130" t="s">
        <v>215</v>
      </c>
      <c r="R11" s="59" t="s">
        <v>219</v>
      </c>
      <c r="S11" s="114" t="s">
        <v>216</v>
      </c>
      <c r="T11" s="59" t="s">
        <v>21</v>
      </c>
      <c r="U11" s="59" t="s">
        <v>299</v>
      </c>
      <c r="V11" s="59" t="s">
        <v>219</v>
      </c>
      <c r="W11" s="59" t="s">
        <v>215</v>
      </c>
      <c r="X11" s="121" t="s">
        <v>215</v>
      </c>
      <c r="Y11" s="114" t="s">
        <v>1</v>
      </c>
      <c r="Z11" s="59" t="s">
        <v>206</v>
      </c>
      <c r="AA11" s="59" t="s">
        <v>21</v>
      </c>
      <c r="AB11" s="59" t="s">
        <v>214</v>
      </c>
      <c r="AC11" s="40" t="s">
        <v>218</v>
      </c>
      <c r="AD11" s="59" t="s">
        <v>215</v>
      </c>
      <c r="AE11" s="59" t="s">
        <v>215</v>
      </c>
      <c r="AF11" s="59" t="s">
        <v>218</v>
      </c>
      <c r="AG11" s="114" t="s">
        <v>21</v>
      </c>
      <c r="AH11" s="59" t="s">
        <v>21</v>
      </c>
      <c r="AI11" s="59" t="s">
        <v>218</v>
      </c>
      <c r="AJ11" s="59" t="s">
        <v>215</v>
      </c>
      <c r="AK11" s="147"/>
      <c r="AL11" s="30">
        <f t="shared" si="0"/>
        <v>0</v>
      </c>
      <c r="AM11" s="25">
        <f t="shared" si="1"/>
        <v>22</v>
      </c>
      <c r="AN11" s="26">
        <f t="shared" si="2"/>
        <v>8</v>
      </c>
      <c r="AO11" s="29">
        <f t="shared" si="3"/>
        <v>8</v>
      </c>
      <c r="AP11" s="409" t="s">
        <v>188</v>
      </c>
      <c r="AS11"/>
      <c r="AT11"/>
    </row>
    <row r="12" spans="1:81" ht="22" customHeight="1" thickBot="1">
      <c r="A12" s="701"/>
      <c r="B12" s="54">
        <v>7</v>
      </c>
      <c r="C12" s="765" t="s">
        <v>29</v>
      </c>
      <c r="D12" s="766"/>
      <c r="E12" s="767" t="s">
        <v>28</v>
      </c>
      <c r="F12" s="768"/>
      <c r="G12" s="100" t="s">
        <v>86</v>
      </c>
      <c r="H12" s="43" t="s">
        <v>215</v>
      </c>
      <c r="I12" s="43" t="s">
        <v>215</v>
      </c>
      <c r="J12" s="43" t="s">
        <v>215</v>
      </c>
      <c r="K12" s="43" t="s">
        <v>214</v>
      </c>
      <c r="L12" s="50" t="s">
        <v>208</v>
      </c>
      <c r="M12" s="43" t="s">
        <v>21</v>
      </c>
      <c r="N12" s="44" t="s">
        <v>222</v>
      </c>
      <c r="O12" s="44" t="s">
        <v>215</v>
      </c>
      <c r="P12" s="44" t="s">
        <v>219</v>
      </c>
      <c r="Q12" s="44" t="s">
        <v>219</v>
      </c>
      <c r="R12" s="44" t="s">
        <v>219</v>
      </c>
      <c r="S12" s="83" t="s">
        <v>208</v>
      </c>
      <c r="T12" s="43" t="s">
        <v>21</v>
      </c>
      <c r="U12" s="43" t="s">
        <v>215</v>
      </c>
      <c r="V12" s="43" t="s">
        <v>215</v>
      </c>
      <c r="W12" s="109" t="s">
        <v>215</v>
      </c>
      <c r="X12" s="346" t="s">
        <v>20</v>
      </c>
      <c r="Y12" s="102" t="s">
        <v>215</v>
      </c>
      <c r="Z12" s="50" t="s">
        <v>208</v>
      </c>
      <c r="AA12" s="43" t="s">
        <v>21</v>
      </c>
      <c r="AB12" s="43" t="s">
        <v>215</v>
      </c>
      <c r="AC12" s="43" t="s">
        <v>215</v>
      </c>
      <c r="AD12" s="43" t="s">
        <v>215</v>
      </c>
      <c r="AE12" s="43" t="s">
        <v>215</v>
      </c>
      <c r="AF12" s="43" t="s">
        <v>218</v>
      </c>
      <c r="AG12" s="50" t="s">
        <v>21</v>
      </c>
      <c r="AH12" s="43" t="s">
        <v>21</v>
      </c>
      <c r="AI12" s="44" t="s">
        <v>218</v>
      </c>
      <c r="AJ12" s="44" t="s">
        <v>215</v>
      </c>
      <c r="AK12" s="132"/>
      <c r="AL12" s="221">
        <f t="shared" si="0"/>
        <v>0</v>
      </c>
      <c r="AM12" s="260">
        <f t="shared" si="1"/>
        <v>21</v>
      </c>
      <c r="AN12" s="32">
        <f t="shared" si="2"/>
        <v>8</v>
      </c>
      <c r="AO12" s="167">
        <f t="shared" si="3"/>
        <v>8</v>
      </c>
      <c r="AP12" s="10">
        <v>1</v>
      </c>
    </row>
    <row r="13" spans="1:81" ht="22" customHeight="1">
      <c r="A13" s="701"/>
      <c r="B13" s="353">
        <v>8</v>
      </c>
      <c r="C13" s="714" t="s">
        <v>25</v>
      </c>
      <c r="D13" s="769"/>
      <c r="E13" s="770" t="s">
        <v>30</v>
      </c>
      <c r="F13" s="771"/>
      <c r="G13" s="150" t="s">
        <v>86</v>
      </c>
      <c r="H13" s="42" t="s">
        <v>215</v>
      </c>
      <c r="I13" s="42" t="s">
        <v>218</v>
      </c>
      <c r="J13" s="42" t="s">
        <v>218</v>
      </c>
      <c r="K13" s="42" t="s">
        <v>215</v>
      </c>
      <c r="L13" s="56" t="s">
        <v>21</v>
      </c>
      <c r="M13" s="113" t="s">
        <v>21</v>
      </c>
      <c r="N13" s="323" t="s">
        <v>215</v>
      </c>
      <c r="O13" s="169" t="s">
        <v>219</v>
      </c>
      <c r="P13" s="81" t="s">
        <v>215</v>
      </c>
      <c r="Q13" s="169" t="s">
        <v>215</v>
      </c>
      <c r="R13" s="164" t="s">
        <v>54</v>
      </c>
      <c r="S13" s="325" t="s">
        <v>1</v>
      </c>
      <c r="T13" s="69" t="s">
        <v>21</v>
      </c>
      <c r="U13" s="71" t="s">
        <v>219</v>
      </c>
      <c r="V13" s="42" t="s">
        <v>218</v>
      </c>
      <c r="W13" s="42" t="s">
        <v>218</v>
      </c>
      <c r="X13" s="42" t="s">
        <v>218</v>
      </c>
      <c r="Y13" s="56" t="s">
        <v>21</v>
      </c>
      <c r="Z13" s="56" t="s">
        <v>213</v>
      </c>
      <c r="AA13" s="42" t="s">
        <v>21</v>
      </c>
      <c r="AB13" s="42" t="s">
        <v>218</v>
      </c>
      <c r="AC13" s="262" t="s">
        <v>218</v>
      </c>
      <c r="AD13" s="42" t="s">
        <v>219</v>
      </c>
      <c r="AE13" s="263" t="s">
        <v>215</v>
      </c>
      <c r="AF13" s="71" t="s">
        <v>214</v>
      </c>
      <c r="AG13" s="42" t="s">
        <v>205</v>
      </c>
      <c r="AH13" s="113" t="s">
        <v>21</v>
      </c>
      <c r="AI13" s="323" t="s">
        <v>218</v>
      </c>
      <c r="AJ13" s="271" t="s">
        <v>223</v>
      </c>
      <c r="AK13" s="190"/>
      <c r="AL13" s="55">
        <f t="shared" si="0"/>
        <v>0</v>
      </c>
      <c r="AM13" s="21">
        <f t="shared" si="1"/>
        <v>22</v>
      </c>
      <c r="AN13" s="22">
        <f t="shared" si="2"/>
        <v>8</v>
      </c>
      <c r="AO13" s="27">
        <f t="shared" si="3"/>
        <v>8</v>
      </c>
      <c r="AP13" s="243">
        <v>1</v>
      </c>
      <c r="AR13" s="700"/>
      <c r="AS13" s="700"/>
      <c r="AT13"/>
    </row>
    <row r="14" spans="1:81" ht="21.75" customHeight="1">
      <c r="A14" s="19" t="s">
        <v>80</v>
      </c>
      <c r="B14" s="301">
        <v>9</v>
      </c>
      <c r="C14" s="684" t="s">
        <v>49</v>
      </c>
      <c r="D14" s="748"/>
      <c r="E14" s="758" t="s">
        <v>31</v>
      </c>
      <c r="F14" s="699"/>
      <c r="G14" s="244" t="s">
        <v>21</v>
      </c>
      <c r="H14" s="40" t="s">
        <v>231</v>
      </c>
      <c r="I14" s="40" t="s">
        <v>218</v>
      </c>
      <c r="J14" s="40" t="s">
        <v>215</v>
      </c>
      <c r="K14" s="40" t="s">
        <v>215</v>
      </c>
      <c r="L14" s="257" t="s">
        <v>225</v>
      </c>
      <c r="M14" s="68" t="s">
        <v>21</v>
      </c>
      <c r="N14" s="285" t="s">
        <v>215</v>
      </c>
      <c r="O14" s="40" t="s">
        <v>215</v>
      </c>
      <c r="P14" s="40" t="s">
        <v>218</v>
      </c>
      <c r="Q14" s="40" t="s">
        <v>215</v>
      </c>
      <c r="R14" s="40" t="s">
        <v>218</v>
      </c>
      <c r="S14" s="272" t="s">
        <v>21</v>
      </c>
      <c r="T14" s="64" t="s">
        <v>21</v>
      </c>
      <c r="U14" s="40" t="s">
        <v>218</v>
      </c>
      <c r="V14" s="57" t="s">
        <v>21</v>
      </c>
      <c r="W14" s="40" t="s">
        <v>229</v>
      </c>
      <c r="X14" s="59" t="s">
        <v>298</v>
      </c>
      <c r="Y14" s="40" t="s">
        <v>215</v>
      </c>
      <c r="Z14" s="40" t="s">
        <v>206</v>
      </c>
      <c r="AA14" s="40" t="s">
        <v>21</v>
      </c>
      <c r="AB14" s="40" t="s">
        <v>215</v>
      </c>
      <c r="AC14" s="40" t="s">
        <v>206</v>
      </c>
      <c r="AD14" s="40" t="s">
        <v>218</v>
      </c>
      <c r="AE14" s="40" t="s">
        <v>218</v>
      </c>
      <c r="AF14" s="59" t="s">
        <v>215</v>
      </c>
      <c r="AG14" s="114" t="s">
        <v>21</v>
      </c>
      <c r="AH14" s="68" t="s">
        <v>21</v>
      </c>
      <c r="AI14" s="285" t="s">
        <v>218</v>
      </c>
      <c r="AJ14" s="284" t="s">
        <v>215</v>
      </c>
      <c r="AK14" s="189"/>
      <c r="AL14" s="30">
        <f t="shared" si="0"/>
        <v>0</v>
      </c>
      <c r="AM14" s="25">
        <f t="shared" si="1"/>
        <v>22</v>
      </c>
      <c r="AN14" s="26">
        <f t="shared" si="2"/>
        <v>8</v>
      </c>
      <c r="AO14" s="29">
        <f t="shared" si="3"/>
        <v>8</v>
      </c>
      <c r="AP14" s="10"/>
      <c r="AQ14" t="s">
        <v>145</v>
      </c>
      <c r="AR14" s="96"/>
      <c r="AS14" s="96"/>
    </row>
    <row r="15" spans="1:81" ht="21.75" customHeight="1">
      <c r="A15" s="19"/>
      <c r="B15" s="301">
        <v>10</v>
      </c>
      <c r="C15" s="684" t="s">
        <v>114</v>
      </c>
      <c r="D15" s="748"/>
      <c r="E15" s="758" t="s">
        <v>31</v>
      </c>
      <c r="F15" s="699"/>
      <c r="G15" s="70" t="s">
        <v>207</v>
      </c>
      <c r="H15" s="59" t="s">
        <v>218</v>
      </c>
      <c r="I15" s="40" t="s">
        <v>218</v>
      </c>
      <c r="J15" s="40" t="s">
        <v>215</v>
      </c>
      <c r="K15" s="40" t="s">
        <v>215</v>
      </c>
      <c r="L15" s="57" t="s">
        <v>208</v>
      </c>
      <c r="M15" s="89" t="s">
        <v>21</v>
      </c>
      <c r="N15" s="285" t="s">
        <v>215</v>
      </c>
      <c r="O15" s="137" t="s">
        <v>21</v>
      </c>
      <c r="P15" s="40" t="s">
        <v>51</v>
      </c>
      <c r="Q15" s="40" t="s">
        <v>215</v>
      </c>
      <c r="R15" s="40" t="s">
        <v>218</v>
      </c>
      <c r="S15" s="313" t="s">
        <v>205</v>
      </c>
      <c r="T15" s="47" t="s">
        <v>21</v>
      </c>
      <c r="U15" s="40" t="s">
        <v>218</v>
      </c>
      <c r="V15" s="40" t="s">
        <v>218</v>
      </c>
      <c r="W15" s="40" t="s">
        <v>215</v>
      </c>
      <c r="X15" s="40" t="s">
        <v>215</v>
      </c>
      <c r="Y15" s="40" t="s">
        <v>218</v>
      </c>
      <c r="Z15" s="137" t="s">
        <v>21</v>
      </c>
      <c r="AA15" s="59" t="s">
        <v>21</v>
      </c>
      <c r="AB15" s="40" t="s">
        <v>215</v>
      </c>
      <c r="AC15" s="40" t="s">
        <v>218</v>
      </c>
      <c r="AD15" s="40" t="s">
        <v>215</v>
      </c>
      <c r="AE15" s="40" t="s">
        <v>219</v>
      </c>
      <c r="AF15" s="59" t="s">
        <v>218</v>
      </c>
      <c r="AG15" s="57" t="s">
        <v>208</v>
      </c>
      <c r="AH15" s="89" t="s">
        <v>21</v>
      </c>
      <c r="AI15" s="285" t="s">
        <v>215</v>
      </c>
      <c r="AJ15" s="284" t="s">
        <v>215</v>
      </c>
      <c r="AK15" s="189"/>
      <c r="AL15" s="30">
        <f t="shared" si="0"/>
        <v>0</v>
      </c>
      <c r="AM15" s="25">
        <f t="shared" si="1"/>
        <v>22</v>
      </c>
      <c r="AN15" s="26">
        <f t="shared" si="2"/>
        <v>8</v>
      </c>
      <c r="AO15" s="29">
        <f t="shared" si="3"/>
        <v>8</v>
      </c>
      <c r="AP15" s="10"/>
      <c r="AR15" s="96"/>
      <c r="AS15" s="96"/>
    </row>
    <row r="16" spans="1:81" ht="21.75" customHeight="1" thickBot="1">
      <c r="A16" s="19"/>
      <c r="B16" s="301">
        <v>11</v>
      </c>
      <c r="C16" s="696" t="s">
        <v>192</v>
      </c>
      <c r="D16" s="757"/>
      <c r="E16" s="758" t="s">
        <v>31</v>
      </c>
      <c r="F16" s="699"/>
      <c r="G16" s="66" t="s">
        <v>205</v>
      </c>
      <c r="H16" s="121" t="s">
        <v>218</v>
      </c>
      <c r="I16" s="121" t="s">
        <v>215</v>
      </c>
      <c r="J16" s="200" t="s">
        <v>186</v>
      </c>
      <c r="K16" s="121" t="s">
        <v>215</v>
      </c>
      <c r="L16" s="121" t="s">
        <v>207</v>
      </c>
      <c r="M16" s="68" t="s">
        <v>21</v>
      </c>
      <c r="N16" s="274" t="s">
        <v>215</v>
      </c>
      <c r="O16" s="275" t="s">
        <v>215</v>
      </c>
      <c r="P16" s="275" t="s">
        <v>218</v>
      </c>
      <c r="Q16" s="275" t="s">
        <v>218</v>
      </c>
      <c r="R16" s="321" t="s">
        <v>218</v>
      </c>
      <c r="S16" s="315" t="s">
        <v>21</v>
      </c>
      <c r="T16" s="64" t="s">
        <v>21</v>
      </c>
      <c r="U16" s="59" t="s">
        <v>214</v>
      </c>
      <c r="V16" s="59" t="s">
        <v>215</v>
      </c>
      <c r="W16" s="59" t="s">
        <v>215</v>
      </c>
      <c r="X16" s="153" t="s">
        <v>186</v>
      </c>
      <c r="Y16" s="40" t="s">
        <v>219</v>
      </c>
      <c r="Z16" s="59" t="s">
        <v>205</v>
      </c>
      <c r="AA16" s="40" t="s">
        <v>21</v>
      </c>
      <c r="AB16" s="121" t="s">
        <v>218</v>
      </c>
      <c r="AC16" s="121" t="s">
        <v>214</v>
      </c>
      <c r="AD16" s="121" t="s">
        <v>219</v>
      </c>
      <c r="AE16" s="121" t="s">
        <v>215</v>
      </c>
      <c r="AF16" s="44" t="s">
        <v>215</v>
      </c>
      <c r="AG16" s="171" t="s">
        <v>21</v>
      </c>
      <c r="AH16" s="68" t="s">
        <v>21</v>
      </c>
      <c r="AI16" s="274" t="s">
        <v>215</v>
      </c>
      <c r="AJ16" s="282" t="s">
        <v>214</v>
      </c>
      <c r="AK16" s="198"/>
      <c r="AL16" s="30">
        <f t="shared" si="0"/>
        <v>0</v>
      </c>
      <c r="AM16" s="25">
        <f t="shared" si="1"/>
        <v>22</v>
      </c>
      <c r="AN16" s="26">
        <f t="shared" si="2"/>
        <v>8</v>
      </c>
      <c r="AO16" s="29">
        <f t="shared" si="3"/>
        <v>8</v>
      </c>
      <c r="AP16" s="10" t="s">
        <v>185</v>
      </c>
      <c r="AQ16" s="689"/>
      <c r="AR16" s="689"/>
      <c r="AS16" s="653"/>
      <c r="AT16" s="653"/>
      <c r="AU16" s="156"/>
      <c r="AV16" s="157"/>
      <c r="AW16" s="157"/>
      <c r="AX16" s="218"/>
      <c r="AY16" s="157"/>
      <c r="AZ16" s="218"/>
      <c r="BA16" s="157"/>
      <c r="BB16" s="203"/>
      <c r="BC16" s="157"/>
      <c r="BD16" s="157"/>
      <c r="BE16" s="157"/>
      <c r="BF16" s="157"/>
      <c r="BG16" s="157"/>
      <c r="BH16" s="157"/>
      <c r="BI16" s="156"/>
      <c r="BJ16" s="157"/>
      <c r="BK16" s="157"/>
      <c r="BL16" s="158"/>
      <c r="BM16" s="158"/>
      <c r="BN16" s="157"/>
      <c r="BO16" s="157"/>
      <c r="BP16" s="302"/>
      <c r="BQ16" s="157"/>
      <c r="BR16" s="157"/>
      <c r="BS16" s="158"/>
      <c r="BT16" s="157"/>
      <c r="BU16" s="299"/>
      <c r="BV16" s="157"/>
      <c r="BW16" s="157"/>
      <c r="BX16" s="157"/>
      <c r="BY16" s="156"/>
      <c r="BZ16" s="159"/>
      <c r="CA16" s="161"/>
      <c r="CB16" s="160"/>
      <c r="CC16" s="160"/>
    </row>
    <row r="17" spans="1:83" ht="21.75" customHeight="1">
      <c r="A17" s="19"/>
      <c r="B17" s="301">
        <v>12</v>
      </c>
      <c r="C17" s="682" t="s">
        <v>193</v>
      </c>
      <c r="D17" s="755"/>
      <c r="E17" s="758" t="s">
        <v>31</v>
      </c>
      <c r="F17" s="699"/>
      <c r="G17" s="270" t="s">
        <v>205</v>
      </c>
      <c r="H17" s="370" t="s">
        <v>21</v>
      </c>
      <c r="I17" s="169" t="s">
        <v>233</v>
      </c>
      <c r="J17" s="169" t="s">
        <v>214</v>
      </c>
      <c r="K17" s="169" t="s">
        <v>218</v>
      </c>
      <c r="L17" s="271" t="s">
        <v>205</v>
      </c>
      <c r="M17" s="47" t="s">
        <v>21</v>
      </c>
      <c r="N17" s="71" t="s">
        <v>218</v>
      </c>
      <c r="O17" s="71" t="s">
        <v>215</v>
      </c>
      <c r="P17" s="71" t="s">
        <v>218</v>
      </c>
      <c r="Q17" s="71" t="s">
        <v>215</v>
      </c>
      <c r="R17" s="42" t="s">
        <v>218</v>
      </c>
      <c r="S17" s="170" t="s">
        <v>21</v>
      </c>
      <c r="T17" s="59" t="s">
        <v>21</v>
      </c>
      <c r="U17" s="59" t="s">
        <v>219</v>
      </c>
      <c r="V17" s="59" t="s">
        <v>215</v>
      </c>
      <c r="W17" s="59" t="s">
        <v>215</v>
      </c>
      <c r="X17" s="40" t="s">
        <v>215</v>
      </c>
      <c r="Y17" s="40" t="s">
        <v>215</v>
      </c>
      <c r="Z17" s="114" t="s">
        <v>21</v>
      </c>
      <c r="AA17" s="89" t="s">
        <v>21</v>
      </c>
      <c r="AB17" s="270" t="s">
        <v>218</v>
      </c>
      <c r="AC17" s="169" t="s">
        <v>215</v>
      </c>
      <c r="AD17" s="169" t="s">
        <v>215</v>
      </c>
      <c r="AE17" s="169" t="s">
        <v>218</v>
      </c>
      <c r="AF17" s="370" t="s">
        <v>21</v>
      </c>
      <c r="AG17" s="271" t="s">
        <v>206</v>
      </c>
      <c r="AH17" s="47" t="s">
        <v>21</v>
      </c>
      <c r="AI17" s="71" t="s">
        <v>219</v>
      </c>
      <c r="AJ17" s="71" t="s">
        <v>215</v>
      </c>
      <c r="AK17" s="147"/>
      <c r="AL17" s="30">
        <f t="shared" si="0"/>
        <v>0</v>
      </c>
      <c r="AM17" s="25">
        <f t="shared" si="1"/>
        <v>22</v>
      </c>
      <c r="AN17" s="26">
        <f t="shared" si="2"/>
        <v>8</v>
      </c>
      <c r="AO17" s="29">
        <f t="shared" si="3"/>
        <v>8</v>
      </c>
      <c r="AP17" s="238"/>
      <c r="AQ17" s="689"/>
      <c r="AR17" s="689"/>
      <c r="AS17" s="653"/>
      <c r="AT17" s="653"/>
      <c r="AU17" s="156"/>
      <c r="AV17" s="157"/>
      <c r="AW17" s="157"/>
      <c r="AX17" s="158"/>
      <c r="AY17" s="156"/>
      <c r="AZ17" s="156"/>
      <c r="BA17" s="156"/>
      <c r="BB17" s="156"/>
      <c r="BC17" s="157"/>
      <c r="BD17" s="206"/>
      <c r="BE17" s="206"/>
      <c r="BF17" s="218"/>
      <c r="BG17" s="206"/>
      <c r="BH17" s="16"/>
      <c r="BI17" s="156"/>
      <c r="BJ17" s="157"/>
      <c r="BK17" s="206"/>
      <c r="BL17" s="218"/>
      <c r="BM17" s="218"/>
      <c r="BN17" s="218"/>
      <c r="BO17" s="206"/>
      <c r="BP17" s="203"/>
      <c r="BQ17" s="157"/>
      <c r="BR17" s="206"/>
      <c r="BS17" s="218"/>
      <c r="BT17" s="218"/>
      <c r="BU17" s="306"/>
      <c r="BV17" s="218"/>
      <c r="BW17" s="203"/>
      <c r="BX17" s="157"/>
      <c r="BY17" s="157"/>
      <c r="BZ17" s="159"/>
      <c r="CA17" s="161"/>
      <c r="CB17" s="160"/>
      <c r="CC17" s="160"/>
    </row>
    <row r="18" spans="1:83" ht="22" customHeight="1">
      <c r="A18" s="19"/>
      <c r="B18" s="301">
        <v>13</v>
      </c>
      <c r="C18" s="682" t="s">
        <v>95</v>
      </c>
      <c r="D18" s="755"/>
      <c r="E18" s="756" t="s">
        <v>31</v>
      </c>
      <c r="F18" s="674"/>
      <c r="G18" s="285" t="s">
        <v>205</v>
      </c>
      <c r="H18" s="59" t="s">
        <v>215</v>
      </c>
      <c r="I18" s="40" t="s">
        <v>218</v>
      </c>
      <c r="J18" s="40" t="s">
        <v>215</v>
      </c>
      <c r="K18" s="40" t="s">
        <v>215</v>
      </c>
      <c r="L18" s="272" t="s">
        <v>21</v>
      </c>
      <c r="M18" s="47" t="s">
        <v>21</v>
      </c>
      <c r="N18" s="40" t="s">
        <v>214</v>
      </c>
      <c r="O18" s="40" t="s">
        <v>218</v>
      </c>
      <c r="P18" s="40" t="s">
        <v>215</v>
      </c>
      <c r="Q18" s="40" t="s">
        <v>218</v>
      </c>
      <c r="R18" s="224" t="s">
        <v>89</v>
      </c>
      <c r="S18" s="57" t="s">
        <v>21</v>
      </c>
      <c r="T18" s="59" t="s">
        <v>21</v>
      </c>
      <c r="U18" s="40" t="s">
        <v>215</v>
      </c>
      <c r="V18" s="40" t="s">
        <v>215</v>
      </c>
      <c r="W18" s="40" t="s">
        <v>2</v>
      </c>
      <c r="X18" s="40" t="s">
        <v>218</v>
      </c>
      <c r="Y18" s="40" t="s">
        <v>215</v>
      </c>
      <c r="Z18" s="40" t="s">
        <v>205</v>
      </c>
      <c r="AA18" s="89" t="s">
        <v>21</v>
      </c>
      <c r="AB18" s="285" t="s">
        <v>218</v>
      </c>
      <c r="AC18" s="40" t="s">
        <v>218</v>
      </c>
      <c r="AD18" s="130" t="s">
        <v>215</v>
      </c>
      <c r="AE18" s="40" t="s">
        <v>215</v>
      </c>
      <c r="AF18" s="40" t="s">
        <v>219</v>
      </c>
      <c r="AG18" s="272" t="s">
        <v>21</v>
      </c>
      <c r="AH18" s="47" t="s">
        <v>21</v>
      </c>
      <c r="AI18" s="40" t="s">
        <v>215</v>
      </c>
      <c r="AJ18" s="107" t="s">
        <v>300</v>
      </c>
      <c r="AK18" s="65"/>
      <c r="AL18" s="30">
        <f t="shared" si="0"/>
        <v>0</v>
      </c>
      <c r="AM18" s="25">
        <f t="shared" si="1"/>
        <v>21</v>
      </c>
      <c r="AN18" s="26">
        <v>8</v>
      </c>
      <c r="AO18" s="29">
        <f t="shared" si="3"/>
        <v>8</v>
      </c>
      <c r="AP18" s="10" t="s">
        <v>187</v>
      </c>
      <c r="AQ18" s="303"/>
      <c r="AR18" s="692"/>
      <c r="AS18" s="692"/>
      <c r="AT18" s="693"/>
      <c r="AU18" s="693"/>
      <c r="AV18" s="158"/>
      <c r="AW18" s="157"/>
      <c r="AX18" s="157"/>
      <c r="AY18" s="158"/>
      <c r="AZ18" s="157"/>
      <c r="BA18" s="157"/>
      <c r="BB18" s="157"/>
      <c r="BC18" s="157"/>
      <c r="BD18" s="157"/>
      <c r="BE18" s="157"/>
      <c r="BF18" s="158"/>
      <c r="BG18" s="157"/>
      <c r="BH18" s="158"/>
      <c r="BI18" s="158"/>
      <c r="BJ18" s="158"/>
      <c r="BK18" s="157"/>
      <c r="BL18" s="158"/>
      <c r="BM18" s="157"/>
      <c r="BN18" s="157"/>
      <c r="BO18" s="304"/>
      <c r="BP18" s="157"/>
      <c r="BQ18" s="157"/>
      <c r="BR18" s="157"/>
      <c r="BS18" s="157"/>
      <c r="BT18" s="158"/>
      <c r="BU18" s="157"/>
      <c r="BV18" s="299"/>
      <c r="BW18" s="157"/>
      <c r="BX18" s="158"/>
      <c r="BY18" s="157"/>
      <c r="BZ18" s="158"/>
      <c r="CA18" s="305"/>
      <c r="CB18" s="161"/>
      <c r="CC18" s="161"/>
      <c r="CD18" s="161"/>
    </row>
    <row r="19" spans="1:83" ht="22" customHeight="1" thickBot="1">
      <c r="A19" s="19"/>
      <c r="B19" s="301">
        <v>14</v>
      </c>
      <c r="C19" s="684" t="s">
        <v>200</v>
      </c>
      <c r="D19" s="748"/>
      <c r="E19" s="694" t="s">
        <v>31</v>
      </c>
      <c r="F19" s="695"/>
      <c r="G19" s="341" t="s">
        <v>206</v>
      </c>
      <c r="H19" s="321" t="s">
        <v>215</v>
      </c>
      <c r="I19" s="321" t="s">
        <v>215</v>
      </c>
      <c r="J19" s="321" t="s">
        <v>215</v>
      </c>
      <c r="K19" s="321" t="s">
        <v>218</v>
      </c>
      <c r="L19" s="288" t="s">
        <v>208</v>
      </c>
      <c r="M19" s="64" t="s">
        <v>21</v>
      </c>
      <c r="N19" s="40" t="s">
        <v>214</v>
      </c>
      <c r="O19" s="40" t="s">
        <v>215</v>
      </c>
      <c r="P19" s="57" t="s">
        <v>21</v>
      </c>
      <c r="Q19" s="40" t="s">
        <v>215</v>
      </c>
      <c r="R19" s="40" t="s">
        <v>218</v>
      </c>
      <c r="S19" s="40" t="s">
        <v>2</v>
      </c>
      <c r="T19" s="40" t="s">
        <v>21</v>
      </c>
      <c r="U19" s="44" t="s">
        <v>218</v>
      </c>
      <c r="V19" s="44" t="s">
        <v>218</v>
      </c>
      <c r="W19" s="44" t="s">
        <v>215</v>
      </c>
      <c r="X19" s="44" t="s">
        <v>215</v>
      </c>
      <c r="Y19" s="44" t="s">
        <v>220</v>
      </c>
      <c r="Z19" s="372" t="s">
        <v>1</v>
      </c>
      <c r="AA19" s="110" t="s">
        <v>21</v>
      </c>
      <c r="AB19" s="341" t="s">
        <v>215</v>
      </c>
      <c r="AC19" s="275" t="s">
        <v>215</v>
      </c>
      <c r="AD19" s="321" t="s">
        <v>218</v>
      </c>
      <c r="AE19" s="321" t="s">
        <v>218</v>
      </c>
      <c r="AF19" s="275" t="s">
        <v>219</v>
      </c>
      <c r="AG19" s="288" t="s">
        <v>21</v>
      </c>
      <c r="AH19" s="64" t="s">
        <v>21</v>
      </c>
      <c r="AI19" s="40" t="s">
        <v>215</v>
      </c>
      <c r="AJ19" s="59" t="s">
        <v>215</v>
      </c>
      <c r="AK19" s="65"/>
      <c r="AL19" s="30">
        <f t="shared" si="0"/>
        <v>0</v>
      </c>
      <c r="AM19" s="25">
        <f t="shared" si="1"/>
        <v>22</v>
      </c>
      <c r="AN19" s="26">
        <f t="shared" si="2"/>
        <v>8</v>
      </c>
      <c r="AO19" s="29">
        <f t="shared" si="3"/>
        <v>8</v>
      </c>
      <c r="AP19" s="10" t="s">
        <v>184</v>
      </c>
      <c r="AQ19" s="652"/>
      <c r="AR19" s="652"/>
      <c r="AS19" s="653"/>
      <c r="AT19" s="653"/>
      <c r="AU19" s="158"/>
      <c r="AV19" s="157"/>
      <c r="AW19" s="157"/>
      <c r="AX19" s="158"/>
      <c r="AY19" s="157"/>
      <c r="AZ19" s="156"/>
      <c r="BA19" s="157"/>
      <c r="BB19" s="156"/>
      <c r="BC19" s="157"/>
      <c r="BD19" s="157"/>
      <c r="BE19" s="157"/>
      <c r="BF19" s="157"/>
      <c r="BG19" s="157"/>
      <c r="BH19" s="157"/>
      <c r="BI19" s="158"/>
      <c r="BJ19" s="157"/>
      <c r="BK19" s="157"/>
      <c r="BL19" s="156"/>
      <c r="BM19" s="157"/>
      <c r="BN19" s="157"/>
      <c r="BO19" s="203"/>
      <c r="BP19" s="158"/>
      <c r="BQ19" s="157"/>
      <c r="BR19" s="203"/>
      <c r="BS19" s="156"/>
      <c r="BT19" s="157"/>
      <c r="BU19" s="299"/>
      <c r="BV19" s="157"/>
      <c r="BW19" s="203"/>
      <c r="BX19" s="157"/>
      <c r="BY19" s="157"/>
      <c r="BZ19" s="159"/>
      <c r="CA19" s="161"/>
      <c r="CB19" s="160"/>
      <c r="CC19" s="160"/>
    </row>
    <row r="20" spans="1:83" ht="22" customHeight="1">
      <c r="A20" s="19"/>
      <c r="B20" s="301">
        <v>15</v>
      </c>
      <c r="C20" s="684" t="s">
        <v>194</v>
      </c>
      <c r="D20" s="748"/>
      <c r="E20" s="686" t="s">
        <v>31</v>
      </c>
      <c r="F20" s="686"/>
      <c r="G20" s="150" t="s">
        <v>205</v>
      </c>
      <c r="H20" s="42" t="s">
        <v>214</v>
      </c>
      <c r="I20" s="42" t="s">
        <v>218</v>
      </c>
      <c r="J20" s="42" t="s">
        <v>215</v>
      </c>
      <c r="K20" s="56" t="s">
        <v>21</v>
      </c>
      <c r="L20" s="42" t="s">
        <v>226</v>
      </c>
      <c r="M20" s="59" t="s">
        <v>21</v>
      </c>
      <c r="N20" s="40" t="s">
        <v>220</v>
      </c>
      <c r="O20" s="40" t="s">
        <v>218</v>
      </c>
      <c r="P20" s="40" t="s">
        <v>215</v>
      </c>
      <c r="Q20" s="40" t="s">
        <v>215</v>
      </c>
      <c r="R20" s="137" t="s">
        <v>211</v>
      </c>
      <c r="S20" s="40" t="s">
        <v>215</v>
      </c>
      <c r="T20" s="89" t="s">
        <v>21</v>
      </c>
      <c r="U20" s="323" t="s">
        <v>218</v>
      </c>
      <c r="V20" s="81" t="s">
        <v>215</v>
      </c>
      <c r="W20" s="81" t="s">
        <v>226</v>
      </c>
      <c r="X20" s="81" t="s">
        <v>218</v>
      </c>
      <c r="Y20" s="81" t="s">
        <v>205</v>
      </c>
      <c r="Z20" s="325" t="s">
        <v>208</v>
      </c>
      <c r="AA20" s="47" t="s">
        <v>21</v>
      </c>
      <c r="AB20" s="71" t="s">
        <v>226</v>
      </c>
      <c r="AC20" s="71" t="s">
        <v>218</v>
      </c>
      <c r="AD20" s="42" t="s">
        <v>218</v>
      </c>
      <c r="AE20" s="42" t="s">
        <v>218</v>
      </c>
      <c r="AF20" s="42" t="s">
        <v>219</v>
      </c>
      <c r="AG20" s="56" t="s">
        <v>21</v>
      </c>
      <c r="AH20" s="59" t="s">
        <v>21</v>
      </c>
      <c r="AI20" s="40" t="s">
        <v>218</v>
      </c>
      <c r="AJ20" s="40" t="s">
        <v>214</v>
      </c>
      <c r="AK20" s="65"/>
      <c r="AL20" s="30">
        <f t="shared" si="0"/>
        <v>0</v>
      </c>
      <c r="AM20" s="25">
        <f t="shared" si="1"/>
        <v>22</v>
      </c>
      <c r="AN20" s="26">
        <f t="shared" si="2"/>
        <v>8</v>
      </c>
      <c r="AO20" s="29">
        <f t="shared" si="3"/>
        <v>8</v>
      </c>
      <c r="AP20" s="10">
        <v>2</v>
      </c>
      <c r="AQ20" s="652"/>
      <c r="AR20" s="652"/>
      <c r="AS20" s="653"/>
      <c r="AT20" s="653"/>
      <c r="AU20" s="203"/>
      <c r="AV20" s="158"/>
      <c r="AW20" s="157"/>
      <c r="AX20" s="158"/>
      <c r="AY20" s="158"/>
      <c r="AZ20" s="157"/>
      <c r="BA20" s="157"/>
      <c r="BB20" s="203"/>
      <c r="BC20" s="158"/>
      <c r="BD20" s="157"/>
      <c r="BE20" s="156"/>
      <c r="BF20" s="158"/>
      <c r="BG20" s="158"/>
      <c r="BH20" s="157"/>
      <c r="BI20" s="158"/>
      <c r="BJ20" s="158"/>
      <c r="BK20" s="158"/>
      <c r="BL20" s="158"/>
      <c r="BM20" s="158"/>
      <c r="BN20" s="158"/>
      <c r="BO20" s="158"/>
      <c r="BP20" s="203"/>
      <c r="BQ20" s="158"/>
      <c r="BR20" s="157"/>
      <c r="BS20" s="158"/>
      <c r="BT20" s="158"/>
      <c r="BU20" s="158"/>
      <c r="BV20" s="156"/>
      <c r="BW20" s="158"/>
      <c r="BX20" s="158"/>
      <c r="BY20" s="156"/>
      <c r="BZ20" s="159"/>
      <c r="CA20" s="161"/>
      <c r="CB20" s="160"/>
      <c r="CC20" s="160"/>
    </row>
    <row r="21" spans="1:83" ht="22" customHeight="1">
      <c r="A21" s="19"/>
      <c r="B21" s="301">
        <v>16</v>
      </c>
      <c r="C21" s="690" t="s">
        <v>195</v>
      </c>
      <c r="D21" s="749"/>
      <c r="E21" s="686" t="s">
        <v>196</v>
      </c>
      <c r="F21" s="686"/>
      <c r="G21" s="70" t="s">
        <v>205</v>
      </c>
      <c r="H21" s="59" t="s">
        <v>215</v>
      </c>
      <c r="I21" s="40" t="s">
        <v>215</v>
      </c>
      <c r="J21" s="40" t="s">
        <v>218</v>
      </c>
      <c r="K21" s="40" t="s">
        <v>218</v>
      </c>
      <c r="L21" s="57" t="s">
        <v>208</v>
      </c>
      <c r="M21" s="59" t="s">
        <v>21</v>
      </c>
      <c r="N21" s="40" t="s">
        <v>215</v>
      </c>
      <c r="O21" s="57" t="s">
        <v>210</v>
      </c>
      <c r="P21" s="40" t="s">
        <v>220</v>
      </c>
      <c r="Q21" s="40" t="s">
        <v>215</v>
      </c>
      <c r="R21" s="40" t="s">
        <v>218</v>
      </c>
      <c r="S21" s="40" t="s">
        <v>86</v>
      </c>
      <c r="T21" s="89" t="s">
        <v>204</v>
      </c>
      <c r="U21" s="285" t="s">
        <v>215</v>
      </c>
      <c r="V21" s="59" t="s">
        <v>218</v>
      </c>
      <c r="W21" s="40" t="s">
        <v>218</v>
      </c>
      <c r="X21" s="40" t="s">
        <v>215</v>
      </c>
      <c r="Y21" s="40" t="s">
        <v>227</v>
      </c>
      <c r="Z21" s="382" t="s">
        <v>21</v>
      </c>
      <c r="AA21" s="47" t="s">
        <v>203</v>
      </c>
      <c r="AB21" s="40" t="s">
        <v>215</v>
      </c>
      <c r="AC21" s="40" t="s">
        <v>215</v>
      </c>
      <c r="AD21" s="40" t="s">
        <v>215</v>
      </c>
      <c r="AE21" s="40" t="s">
        <v>219</v>
      </c>
      <c r="AF21" s="153" t="s">
        <v>47</v>
      </c>
      <c r="AG21" s="40" t="s">
        <v>205</v>
      </c>
      <c r="AH21" s="59" t="s">
        <v>21</v>
      </c>
      <c r="AI21" s="40" t="s">
        <v>218</v>
      </c>
      <c r="AJ21" s="40" t="s">
        <v>218</v>
      </c>
      <c r="AK21" s="65"/>
      <c r="AL21" s="30">
        <f t="shared" si="0"/>
        <v>0</v>
      </c>
      <c r="AM21" s="25">
        <f t="shared" si="1"/>
        <v>22</v>
      </c>
      <c r="AN21" s="26">
        <f t="shared" si="2"/>
        <v>8</v>
      </c>
      <c r="AO21" s="29">
        <f t="shared" si="3"/>
        <v>8</v>
      </c>
      <c r="AP21" s="10"/>
      <c r="AR21" s="652"/>
      <c r="AS21" s="652"/>
    </row>
    <row r="22" spans="1:83" ht="22" customHeight="1">
      <c r="A22" s="19"/>
      <c r="B22" s="301">
        <v>17</v>
      </c>
      <c r="C22" s="687" t="s">
        <v>201</v>
      </c>
      <c r="D22" s="750"/>
      <c r="E22" s="751" t="s">
        <v>31</v>
      </c>
      <c r="F22" s="686"/>
      <c r="G22" s="70" t="s">
        <v>206</v>
      </c>
      <c r="H22" s="40" t="s">
        <v>215</v>
      </c>
      <c r="I22" s="40" t="s">
        <v>215</v>
      </c>
      <c r="J22" s="40" t="s">
        <v>219</v>
      </c>
      <c r="K22" s="40" t="s">
        <v>218</v>
      </c>
      <c r="L22" s="137" t="s">
        <v>21</v>
      </c>
      <c r="M22" s="40" t="s">
        <v>21</v>
      </c>
      <c r="N22" s="40" t="s">
        <v>218</v>
      </c>
      <c r="O22" s="40" t="s">
        <v>215</v>
      </c>
      <c r="P22" s="40" t="s">
        <v>218</v>
      </c>
      <c r="Q22" s="59" t="s">
        <v>218</v>
      </c>
      <c r="R22" s="40" t="s">
        <v>215</v>
      </c>
      <c r="S22" s="57" t="s">
        <v>212</v>
      </c>
      <c r="T22" s="68" t="s">
        <v>21</v>
      </c>
      <c r="U22" s="381" t="s">
        <v>21</v>
      </c>
      <c r="V22" s="40" t="s">
        <v>214</v>
      </c>
      <c r="W22" s="40" t="s">
        <v>215</v>
      </c>
      <c r="X22" s="40" t="s">
        <v>215</v>
      </c>
      <c r="Y22" s="68" t="s">
        <v>215</v>
      </c>
      <c r="Z22" s="418" t="s">
        <v>205</v>
      </c>
      <c r="AA22" s="64" t="s">
        <v>199</v>
      </c>
      <c r="AB22" s="40" t="s">
        <v>215</v>
      </c>
      <c r="AC22" s="40" t="s">
        <v>218</v>
      </c>
      <c r="AD22" s="40" t="s">
        <v>215</v>
      </c>
      <c r="AE22" s="59" t="s">
        <v>218</v>
      </c>
      <c r="AF22" s="40" t="s">
        <v>215</v>
      </c>
      <c r="AG22" s="57" t="s">
        <v>21</v>
      </c>
      <c r="AH22" s="40" t="s">
        <v>21</v>
      </c>
      <c r="AI22" s="40" t="s">
        <v>218</v>
      </c>
      <c r="AJ22" s="40" t="s">
        <v>214</v>
      </c>
      <c r="AK22" s="65"/>
      <c r="AL22" s="30">
        <f t="shared" si="0"/>
        <v>0</v>
      </c>
      <c r="AM22" s="25">
        <f t="shared" si="1"/>
        <v>22</v>
      </c>
      <c r="AN22" s="26">
        <f t="shared" si="2"/>
        <v>8</v>
      </c>
      <c r="AO22" s="29">
        <f t="shared" si="3"/>
        <v>8</v>
      </c>
      <c r="AP22" s="10"/>
      <c r="AR22" s="96"/>
      <c r="AS22" s="96"/>
    </row>
    <row r="23" spans="1:83" ht="22" customHeight="1" thickBot="1">
      <c r="A23" s="19"/>
      <c r="B23" s="54">
        <v>18</v>
      </c>
      <c r="C23" s="752" t="s">
        <v>202</v>
      </c>
      <c r="D23" s="753"/>
      <c r="E23" s="713" t="s">
        <v>31</v>
      </c>
      <c r="F23" s="754"/>
      <c r="G23" s="66" t="s">
        <v>206</v>
      </c>
      <c r="H23" s="121" t="s">
        <v>220</v>
      </c>
      <c r="I23" s="121" t="s">
        <v>215</v>
      </c>
      <c r="J23" s="121" t="s">
        <v>215</v>
      </c>
      <c r="K23" s="121" t="s">
        <v>218</v>
      </c>
      <c r="L23" s="171" t="s">
        <v>21</v>
      </c>
      <c r="M23" s="121" t="s">
        <v>21</v>
      </c>
      <c r="N23" s="121" t="s">
        <v>215</v>
      </c>
      <c r="O23" s="44" t="s">
        <v>215</v>
      </c>
      <c r="P23" s="121" t="s">
        <v>215</v>
      </c>
      <c r="Q23" s="153" t="s">
        <v>1</v>
      </c>
      <c r="R23" s="40" t="s">
        <v>218</v>
      </c>
      <c r="S23" s="57" t="s">
        <v>21</v>
      </c>
      <c r="T23" s="68" t="s">
        <v>21</v>
      </c>
      <c r="U23" s="341" t="s">
        <v>218</v>
      </c>
      <c r="V23" s="321" t="s">
        <v>218</v>
      </c>
      <c r="W23" s="321" t="s">
        <v>215</v>
      </c>
      <c r="X23" s="321" t="s">
        <v>218</v>
      </c>
      <c r="Y23" s="367" t="s">
        <v>215</v>
      </c>
      <c r="Z23" s="417" t="s">
        <v>19</v>
      </c>
      <c r="AA23" s="64" t="s">
        <v>21</v>
      </c>
      <c r="AB23" s="40" t="s">
        <v>218</v>
      </c>
      <c r="AC23" s="40" t="s">
        <v>215</v>
      </c>
      <c r="AD23" s="40" t="s">
        <v>214</v>
      </c>
      <c r="AE23" s="153" t="s">
        <v>1</v>
      </c>
      <c r="AF23" s="44" t="s">
        <v>215</v>
      </c>
      <c r="AG23" s="121" t="s">
        <v>206</v>
      </c>
      <c r="AH23" s="121" t="s">
        <v>21</v>
      </c>
      <c r="AI23" s="121" t="s">
        <v>215</v>
      </c>
      <c r="AJ23" s="121" t="s">
        <v>215</v>
      </c>
      <c r="AK23" s="365"/>
      <c r="AL23" s="31">
        <f t="shared" si="0"/>
        <v>0</v>
      </c>
      <c r="AM23" s="23">
        <f t="shared" si="1"/>
        <v>21</v>
      </c>
      <c r="AN23" s="24">
        <f t="shared" si="2"/>
        <v>8</v>
      </c>
      <c r="AO23" s="28">
        <f t="shared" si="3"/>
        <v>8</v>
      </c>
      <c r="AP23" s="10"/>
      <c r="AR23" s="300"/>
      <c r="AS23" s="652"/>
      <c r="AT23" s="652"/>
      <c r="AU23" s="653"/>
      <c r="AV23" s="653"/>
      <c r="AW23" s="203"/>
      <c r="AX23" s="157"/>
      <c r="AY23" s="157"/>
      <c r="AZ23" s="298"/>
      <c r="BA23" s="157"/>
      <c r="BB23" s="156"/>
      <c r="BC23" s="157"/>
      <c r="BD23" s="157"/>
      <c r="BE23" s="157"/>
      <c r="BF23" s="204"/>
      <c r="BG23" s="157"/>
      <c r="BH23" s="157"/>
      <c r="BI23" s="298"/>
      <c r="BJ23" s="157"/>
      <c r="BK23" s="157"/>
      <c r="BL23" s="157"/>
      <c r="BM23" s="204"/>
      <c r="BN23" s="156"/>
      <c r="BO23" s="157"/>
      <c r="BP23" s="157"/>
      <c r="BQ23" s="157"/>
      <c r="BR23" s="203"/>
      <c r="BS23" s="157"/>
      <c r="BT23" s="157"/>
      <c r="BU23" s="158"/>
      <c r="BV23" s="157"/>
      <c r="BW23" s="299"/>
      <c r="BX23" s="157"/>
      <c r="BY23" s="157"/>
      <c r="BZ23" s="157"/>
      <c r="CA23" s="157"/>
      <c r="CB23" s="159"/>
      <c r="CC23" s="161"/>
      <c r="CD23" s="160"/>
      <c r="CE23" s="160"/>
    </row>
    <row r="24" spans="1:83" ht="22" customHeight="1">
      <c r="A24" s="19"/>
      <c r="B24" s="416">
        <v>19</v>
      </c>
      <c r="C24" s="744" t="s">
        <v>197</v>
      </c>
      <c r="D24" s="745"/>
      <c r="E24" s="746" t="s">
        <v>94</v>
      </c>
      <c r="F24" s="747"/>
      <c r="G24" s="414" t="s">
        <v>218</v>
      </c>
      <c r="H24" s="290" t="s">
        <v>215</v>
      </c>
      <c r="I24" s="290" t="s">
        <v>218</v>
      </c>
      <c r="J24" s="290" t="s">
        <v>218</v>
      </c>
      <c r="K24" s="290" t="s">
        <v>215</v>
      </c>
      <c r="L24" s="296" t="s">
        <v>43</v>
      </c>
      <c r="M24" s="290" t="s">
        <v>21</v>
      </c>
      <c r="N24" s="290" t="s">
        <v>214</v>
      </c>
      <c r="O24" s="291" t="s">
        <v>215</v>
      </c>
      <c r="P24" s="290" t="s">
        <v>215</v>
      </c>
      <c r="Q24" s="290" t="s">
        <v>215</v>
      </c>
      <c r="R24" s="290" t="s">
        <v>218</v>
      </c>
      <c r="S24" s="296" t="s">
        <v>21</v>
      </c>
      <c r="T24" s="290" t="s">
        <v>21</v>
      </c>
      <c r="U24" s="115" t="s">
        <v>215</v>
      </c>
      <c r="V24" s="115" t="s">
        <v>218</v>
      </c>
      <c r="W24" s="115" t="s">
        <v>219</v>
      </c>
      <c r="X24" s="115" t="s">
        <v>218</v>
      </c>
      <c r="Y24" s="115" t="s">
        <v>218</v>
      </c>
      <c r="Z24" s="216" t="s">
        <v>21</v>
      </c>
      <c r="AA24" s="290" t="s">
        <v>21</v>
      </c>
      <c r="AB24" s="290" t="s">
        <v>218</v>
      </c>
      <c r="AC24" s="290" t="s">
        <v>218</v>
      </c>
      <c r="AD24" s="290" t="s">
        <v>215</v>
      </c>
      <c r="AE24" s="291" t="s">
        <v>215</v>
      </c>
      <c r="AF24" s="291" t="s">
        <v>218</v>
      </c>
      <c r="AG24" s="296" t="s">
        <v>21</v>
      </c>
      <c r="AH24" s="290" t="s">
        <v>21</v>
      </c>
      <c r="AI24" s="290" t="s">
        <v>218</v>
      </c>
      <c r="AJ24" s="290" t="s">
        <v>218</v>
      </c>
      <c r="AK24" s="415"/>
      <c r="AL24" s="307">
        <f t="shared" si="0"/>
        <v>0</v>
      </c>
      <c r="AM24" s="293">
        <f t="shared" si="1"/>
        <v>22</v>
      </c>
      <c r="AN24" s="294">
        <f t="shared" si="2"/>
        <v>8</v>
      </c>
      <c r="AO24" s="295">
        <f t="shared" si="3"/>
        <v>8</v>
      </c>
      <c r="AP24" s="10"/>
      <c r="AR24" s="652"/>
      <c r="AS24" s="652"/>
      <c r="AT24" s="653"/>
      <c r="AU24" s="653"/>
      <c r="AV24" s="203"/>
      <c r="AW24" s="157"/>
      <c r="AX24" s="157"/>
      <c r="AY24" s="298"/>
      <c r="AZ24" s="157"/>
      <c r="BA24" s="156"/>
      <c r="BB24" s="157"/>
      <c r="BC24" s="203"/>
      <c r="BD24" s="157"/>
      <c r="BE24" s="204"/>
      <c r="BF24" s="298"/>
      <c r="BG24" s="157"/>
      <c r="BH24" s="158"/>
      <c r="BI24" s="157"/>
      <c r="BJ24" s="298"/>
      <c r="BK24" s="157"/>
      <c r="BL24" s="204"/>
      <c r="BM24" s="156"/>
      <c r="BN24" s="157"/>
      <c r="BO24" s="298"/>
      <c r="BP24" s="157"/>
      <c r="BQ24" s="156"/>
      <c r="BR24" s="157"/>
      <c r="BS24" s="157"/>
      <c r="BT24" s="156"/>
      <c r="BU24" s="157"/>
      <c r="BV24" s="299"/>
      <c r="BW24" s="157"/>
      <c r="BX24" s="203"/>
      <c r="BY24" s="157"/>
      <c r="BZ24" s="157"/>
      <c r="CA24" s="159"/>
      <c r="CB24" s="161"/>
      <c r="CC24" s="160"/>
      <c r="CD24" s="160"/>
    </row>
    <row r="25" spans="1:83" ht="22.5" customHeight="1">
      <c r="A25" s="659"/>
      <c r="B25" s="660" t="s">
        <v>3</v>
      </c>
      <c r="C25" s="661"/>
      <c r="D25" s="661"/>
      <c r="E25" s="662"/>
      <c r="F25" s="297" t="s">
        <v>2</v>
      </c>
      <c r="G25" s="386">
        <f>COUNTIF(G6:G22,"D")</f>
        <v>16</v>
      </c>
      <c r="H25" s="386">
        <f t="shared" ref="H25:AK25" si="4">COUNTIF(H6:H22,"D")</f>
        <v>15</v>
      </c>
      <c r="I25" s="108">
        <f t="shared" si="4"/>
        <v>17</v>
      </c>
      <c r="J25" s="108">
        <f t="shared" si="4"/>
        <v>16</v>
      </c>
      <c r="K25" s="108">
        <f t="shared" si="4"/>
        <v>15</v>
      </c>
      <c r="L25" s="108">
        <f>COUNTIF(L6:L22,"D")</f>
        <v>8</v>
      </c>
      <c r="M25" s="108">
        <f t="shared" si="4"/>
        <v>0</v>
      </c>
      <c r="N25" s="108">
        <f t="shared" si="4"/>
        <v>15</v>
      </c>
      <c r="O25" s="108">
        <f t="shared" si="4"/>
        <v>15</v>
      </c>
      <c r="P25" s="108">
        <f t="shared" si="4"/>
        <v>16</v>
      </c>
      <c r="Q25" s="108">
        <f t="shared" si="4"/>
        <v>16</v>
      </c>
      <c r="R25" s="108">
        <f t="shared" si="4"/>
        <v>15</v>
      </c>
      <c r="S25" s="108">
        <f t="shared" si="4"/>
        <v>7</v>
      </c>
      <c r="T25" s="108">
        <f t="shared" si="4"/>
        <v>0</v>
      </c>
      <c r="U25" s="108">
        <f t="shared" si="4"/>
        <v>16</v>
      </c>
      <c r="V25" s="108">
        <f t="shared" si="4"/>
        <v>15</v>
      </c>
      <c r="W25" s="108">
        <f t="shared" si="4"/>
        <v>17</v>
      </c>
      <c r="X25" s="108">
        <f t="shared" si="4"/>
        <v>14</v>
      </c>
      <c r="Y25" s="108">
        <f t="shared" si="4"/>
        <v>15</v>
      </c>
      <c r="Z25" s="108">
        <f t="shared" si="4"/>
        <v>6</v>
      </c>
      <c r="AA25" s="108">
        <f t="shared" si="4"/>
        <v>0</v>
      </c>
      <c r="AB25" s="108">
        <f t="shared" si="4"/>
        <v>17</v>
      </c>
      <c r="AC25" s="108">
        <f t="shared" si="4"/>
        <v>17</v>
      </c>
      <c r="AD25" s="108">
        <f t="shared" si="4"/>
        <v>17</v>
      </c>
      <c r="AE25" s="108">
        <f t="shared" si="4"/>
        <v>15</v>
      </c>
      <c r="AF25" s="108">
        <f t="shared" si="4"/>
        <v>15</v>
      </c>
      <c r="AG25" s="108">
        <f t="shared" si="4"/>
        <v>5</v>
      </c>
      <c r="AH25" s="108">
        <f t="shared" si="4"/>
        <v>0</v>
      </c>
      <c r="AI25" s="108">
        <f t="shared" si="4"/>
        <v>16</v>
      </c>
      <c r="AJ25" s="108">
        <f t="shared" si="4"/>
        <v>16</v>
      </c>
      <c r="AK25" s="211">
        <f t="shared" si="4"/>
        <v>0</v>
      </c>
      <c r="AL25" s="175">
        <f t="shared" si="0"/>
        <v>0</v>
      </c>
      <c r="AM25" s="33">
        <f t="shared" si="1"/>
        <v>0</v>
      </c>
      <c r="AN25" s="34">
        <f t="shared" si="2"/>
        <v>0</v>
      </c>
      <c r="AO25" s="410">
        <f t="shared" si="3"/>
        <v>0</v>
      </c>
      <c r="AP25" s="10"/>
    </row>
    <row r="26" spans="1:83" ht="22.5" customHeight="1">
      <c r="A26" s="659"/>
      <c r="B26" s="663" t="s">
        <v>4</v>
      </c>
      <c r="C26" s="664"/>
      <c r="D26" s="664"/>
      <c r="E26" s="665"/>
      <c r="F26" s="2" t="s">
        <v>1</v>
      </c>
      <c r="G26" s="14">
        <f t="shared" ref="G26:AK26" si="5">COUNTIF(G6:G24,"●")</f>
        <v>1</v>
      </c>
      <c r="H26" s="14">
        <f t="shared" si="5"/>
        <v>2</v>
      </c>
      <c r="I26" s="14">
        <f t="shared" si="5"/>
        <v>0</v>
      </c>
      <c r="J26" s="14">
        <f t="shared" si="5"/>
        <v>1</v>
      </c>
      <c r="K26" s="14">
        <f t="shared" si="5"/>
        <v>2</v>
      </c>
      <c r="L26" s="14">
        <f t="shared" si="5"/>
        <v>11</v>
      </c>
      <c r="M26" s="14">
        <f t="shared" si="5"/>
        <v>19</v>
      </c>
      <c r="N26" s="14">
        <f t="shared" si="5"/>
        <v>2</v>
      </c>
      <c r="O26" s="14">
        <f t="shared" si="5"/>
        <v>2</v>
      </c>
      <c r="P26" s="14">
        <f t="shared" si="5"/>
        <v>1</v>
      </c>
      <c r="Q26" s="14">
        <f t="shared" si="5"/>
        <v>2</v>
      </c>
      <c r="R26" s="14">
        <f t="shared" si="5"/>
        <v>1</v>
      </c>
      <c r="S26" s="14">
        <f t="shared" si="5"/>
        <v>12</v>
      </c>
      <c r="T26" s="14">
        <f t="shared" si="5"/>
        <v>19</v>
      </c>
      <c r="U26" s="14">
        <f t="shared" si="5"/>
        <v>1</v>
      </c>
      <c r="V26" s="14">
        <f t="shared" si="5"/>
        <v>2</v>
      </c>
      <c r="W26" s="14">
        <f t="shared" si="5"/>
        <v>0</v>
      </c>
      <c r="X26" s="14">
        <f t="shared" si="5"/>
        <v>2</v>
      </c>
      <c r="Y26" s="14">
        <f t="shared" si="5"/>
        <v>2</v>
      </c>
      <c r="Z26" s="14">
        <f t="shared" si="5"/>
        <v>12</v>
      </c>
      <c r="AA26" s="14">
        <f t="shared" si="5"/>
        <v>19</v>
      </c>
      <c r="AB26" s="14">
        <f t="shared" si="5"/>
        <v>0</v>
      </c>
      <c r="AC26" s="14">
        <f t="shared" si="5"/>
        <v>0</v>
      </c>
      <c r="AD26" s="14">
        <f t="shared" si="5"/>
        <v>0</v>
      </c>
      <c r="AE26" s="14">
        <f t="shared" si="5"/>
        <v>3</v>
      </c>
      <c r="AF26" s="14">
        <f t="shared" si="5"/>
        <v>2</v>
      </c>
      <c r="AG26" s="14">
        <f t="shared" si="5"/>
        <v>13</v>
      </c>
      <c r="AH26" s="14">
        <f t="shared" si="5"/>
        <v>19</v>
      </c>
      <c r="AI26" s="14">
        <f t="shared" si="5"/>
        <v>1</v>
      </c>
      <c r="AJ26" s="14">
        <f t="shared" si="5"/>
        <v>0</v>
      </c>
      <c r="AK26" s="14">
        <f t="shared" si="5"/>
        <v>0</v>
      </c>
      <c r="AL26" s="666" t="s">
        <v>174</v>
      </c>
      <c r="AM26" s="667"/>
      <c r="AN26" s="667"/>
      <c r="AO26" s="668"/>
      <c r="AP26" s="10"/>
    </row>
    <row r="27" spans="1:83" ht="22.5" customHeight="1" thickBot="1">
      <c r="A27" s="743"/>
      <c r="B27" s="670" t="s">
        <v>5</v>
      </c>
      <c r="C27" s="671"/>
      <c r="D27" s="671"/>
      <c r="E27" s="672"/>
      <c r="F27" s="3" t="s">
        <v>0</v>
      </c>
      <c r="G27" s="14">
        <f t="shared" ref="G27:AK27" si="6">COUNTIF(G6:G24,"▲")</f>
        <v>0</v>
      </c>
      <c r="H27" s="14">
        <f t="shared" si="6"/>
        <v>0</v>
      </c>
      <c r="I27" s="14">
        <f t="shared" si="6"/>
        <v>0</v>
      </c>
      <c r="J27" s="14">
        <f t="shared" si="6"/>
        <v>0</v>
      </c>
      <c r="K27" s="14">
        <f t="shared" si="6"/>
        <v>0</v>
      </c>
      <c r="L27" s="14">
        <f t="shared" si="6"/>
        <v>0</v>
      </c>
      <c r="M27" s="14">
        <f t="shared" si="6"/>
        <v>0</v>
      </c>
      <c r="N27" s="14">
        <f t="shared" si="6"/>
        <v>0</v>
      </c>
      <c r="O27" s="14">
        <f t="shared" si="6"/>
        <v>0</v>
      </c>
      <c r="P27" s="14">
        <f t="shared" si="6"/>
        <v>0</v>
      </c>
      <c r="Q27" s="14">
        <f t="shared" si="6"/>
        <v>0</v>
      </c>
      <c r="R27" s="14">
        <f t="shared" si="6"/>
        <v>0</v>
      </c>
      <c r="S27" s="14">
        <f t="shared" si="6"/>
        <v>0</v>
      </c>
      <c r="T27" s="14">
        <f t="shared" si="6"/>
        <v>0</v>
      </c>
      <c r="U27" s="14">
        <f t="shared" si="6"/>
        <v>0</v>
      </c>
      <c r="V27" s="14">
        <f t="shared" si="6"/>
        <v>0</v>
      </c>
      <c r="W27" s="14">
        <f t="shared" si="6"/>
        <v>0</v>
      </c>
      <c r="X27" s="14">
        <f t="shared" si="6"/>
        <v>0</v>
      </c>
      <c r="Y27" s="14">
        <f t="shared" si="6"/>
        <v>0</v>
      </c>
      <c r="Z27" s="14">
        <f t="shared" si="6"/>
        <v>0</v>
      </c>
      <c r="AA27" s="14">
        <f t="shared" si="6"/>
        <v>0</v>
      </c>
      <c r="AB27" s="14">
        <f t="shared" si="6"/>
        <v>0</v>
      </c>
      <c r="AC27" s="14">
        <f t="shared" si="6"/>
        <v>0</v>
      </c>
      <c r="AD27" s="14">
        <f t="shared" si="6"/>
        <v>0</v>
      </c>
      <c r="AE27" s="14">
        <f t="shared" si="6"/>
        <v>0</v>
      </c>
      <c r="AF27" s="14">
        <f t="shared" si="6"/>
        <v>0</v>
      </c>
      <c r="AG27" s="14">
        <f t="shared" si="6"/>
        <v>0</v>
      </c>
      <c r="AH27" s="14">
        <f t="shared" si="6"/>
        <v>0</v>
      </c>
      <c r="AI27" s="14">
        <f t="shared" si="6"/>
        <v>0</v>
      </c>
      <c r="AJ27" s="14">
        <f t="shared" si="6"/>
        <v>0</v>
      </c>
      <c r="AK27" s="14">
        <f t="shared" si="6"/>
        <v>0</v>
      </c>
      <c r="AL27" s="52" t="s">
        <v>19</v>
      </c>
      <c r="AM27" s="649" t="s">
        <v>17</v>
      </c>
      <c r="AN27" s="650"/>
      <c r="AO27" s="651"/>
      <c r="AP27" s="10"/>
    </row>
    <row r="28" spans="1:83" ht="22.5" customHeight="1" thickTop="1" thickBot="1">
      <c r="A28" s="743"/>
      <c r="B28" s="654"/>
      <c r="C28" s="654"/>
      <c r="D28" s="654"/>
      <c r="E28" s="654"/>
      <c r="F28" s="654"/>
      <c r="G28" s="286"/>
      <c r="H28" s="651" t="s">
        <v>93</v>
      </c>
      <c r="I28" s="655"/>
      <c r="J28" s="655"/>
      <c r="K28" s="3" t="s">
        <v>42</v>
      </c>
      <c r="L28" s="649" t="s">
        <v>5</v>
      </c>
      <c r="M28" s="651"/>
      <c r="N28" s="5" t="s">
        <v>68</v>
      </c>
      <c r="O28" s="656" t="s">
        <v>177</v>
      </c>
      <c r="P28" s="657"/>
      <c r="Q28" s="658"/>
      <c r="R28" s="5" t="s">
        <v>91</v>
      </c>
      <c r="S28" s="656" t="s">
        <v>179</v>
      </c>
      <c r="T28" s="657"/>
      <c r="U28" s="658"/>
      <c r="V28" s="6" t="s">
        <v>56</v>
      </c>
      <c r="W28" s="644" t="s">
        <v>178</v>
      </c>
      <c r="X28" s="645"/>
      <c r="Y28" s="645"/>
      <c r="Z28" s="6" t="s">
        <v>83</v>
      </c>
      <c r="AA28" s="644" t="s">
        <v>180</v>
      </c>
      <c r="AB28" s="645"/>
      <c r="AC28" s="645"/>
      <c r="AD28" s="152" t="s">
        <v>1</v>
      </c>
      <c r="AE28" s="646" t="s">
        <v>175</v>
      </c>
      <c r="AF28" s="647"/>
      <c r="AG28" s="648"/>
      <c r="AH28" s="2" t="s">
        <v>21</v>
      </c>
      <c r="AI28" s="649" t="s">
        <v>4</v>
      </c>
      <c r="AJ28" s="650"/>
      <c r="AK28" s="651"/>
      <c r="AL28" s="13" t="s">
        <v>20</v>
      </c>
      <c r="AM28" s="649" t="s">
        <v>18</v>
      </c>
      <c r="AN28" s="650"/>
      <c r="AO28" s="651"/>
      <c r="AP28" s="10"/>
    </row>
    <row r="29" spans="1:83" customFormat="1" ht="19" thickTop="1">
      <c r="B29" s="8"/>
      <c r="C29" s="652"/>
      <c r="D29" s="652"/>
      <c r="E29" s="653"/>
      <c r="F29" s="653"/>
      <c r="G29" s="156"/>
      <c r="H29" s="158"/>
      <c r="I29" s="157"/>
      <c r="J29" s="158"/>
      <c r="K29" s="158"/>
      <c r="L29" s="158"/>
      <c r="M29" s="158"/>
      <c r="N29" s="203"/>
      <c r="O29" s="158"/>
      <c r="P29" s="158"/>
      <c r="Q29" s="203"/>
      <c r="R29" s="157"/>
      <c r="S29" s="157"/>
      <c r="T29" s="158"/>
      <c r="U29" s="158"/>
      <c r="V29" s="158"/>
      <c r="W29" s="158"/>
      <c r="X29" s="157"/>
      <c r="Y29" s="157"/>
      <c r="Z29" s="157"/>
      <c r="AA29" s="158"/>
      <c r="AB29" s="203"/>
      <c r="AC29" s="158"/>
      <c r="AD29" s="158"/>
      <c r="AE29" s="203"/>
      <c r="AF29" s="157"/>
      <c r="AG29" s="158"/>
      <c r="AH29" s="158"/>
      <c r="AI29" s="157"/>
      <c r="AJ29" s="158"/>
      <c r="AK29" s="158"/>
      <c r="AN29" s="9"/>
      <c r="AO29" s="11"/>
    </row>
    <row r="30" spans="1:83" s="11" customFormat="1" ht="18">
      <c r="A30" s="1"/>
      <c r="B30" s="652"/>
      <c r="C30" s="652"/>
      <c r="D30" s="652"/>
      <c r="E30" s="652"/>
      <c r="F30" s="653"/>
      <c r="G30" s="653"/>
      <c r="H30" s="156"/>
      <c r="I30" s="158"/>
      <c r="J30" s="157"/>
      <c r="K30" s="158"/>
      <c r="L30" s="158"/>
      <c r="M30" s="157"/>
      <c r="N30" s="157"/>
      <c r="O30" s="203"/>
      <c r="P30" s="158"/>
      <c r="Q30" s="157"/>
      <c r="R30" s="157"/>
      <c r="S30" s="158"/>
      <c r="T30" s="158"/>
      <c r="U30" s="218"/>
      <c r="V30" s="158"/>
      <c r="W30" s="158"/>
      <c r="X30" s="158"/>
      <c r="Y30" s="158"/>
      <c r="Z30" s="156"/>
      <c r="AA30" s="158"/>
      <c r="AB30" s="158"/>
      <c r="AC30" s="158"/>
      <c r="AD30" s="158"/>
      <c r="AE30" s="157"/>
      <c r="AF30" s="158"/>
      <c r="AG30" s="156"/>
      <c r="AH30" s="158"/>
      <c r="AI30" s="158"/>
      <c r="AJ30" s="158"/>
      <c r="AK30" s="158"/>
      <c r="AL30" s="156"/>
      <c r="AM30" s="160"/>
      <c r="AN30" s="160"/>
      <c r="AP30" s="12"/>
      <c r="AQ30" s="1"/>
      <c r="AR30" s="1"/>
      <c r="AS30" s="1"/>
      <c r="AT30" s="1"/>
    </row>
    <row r="31" spans="1:83" s="11" customFormat="1">
      <c r="A31" s="1"/>
      <c r="B31" s="1"/>
      <c r="C31" s="1"/>
      <c r="D31" s="1"/>
      <c r="E31" s="1"/>
      <c r="F31" s="1"/>
      <c r="G31"/>
      <c r="H31" s="1"/>
      <c r="I31" s="1"/>
      <c r="J31" s="8"/>
      <c r="K31" s="8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7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9"/>
      <c r="AP31" s="12"/>
      <c r="AQ31" s="1"/>
      <c r="AR31" s="1"/>
      <c r="AS31" s="1"/>
      <c r="AT31" s="1"/>
    </row>
    <row r="32" spans="1:83" s="11" customFormat="1" ht="18">
      <c r="A32" s="1"/>
      <c r="B32" s="1"/>
      <c r="C32" s="1"/>
      <c r="D32" s="1"/>
      <c r="E32" s="1"/>
      <c r="F32" s="1"/>
      <c r="G32" s="17"/>
      <c r="H32" s="17"/>
      <c r="I32" s="17"/>
      <c r="J32" s="17"/>
      <c r="K32" s="15"/>
      <c r="L32" s="17"/>
      <c r="M32" s="17"/>
      <c r="N32" s="17"/>
      <c r="O32" s="17"/>
      <c r="P32" s="17"/>
      <c r="Q32" s="17"/>
      <c r="R32" s="15"/>
      <c r="S32" s="17"/>
      <c r="T32" s="16"/>
      <c r="U32" s="16"/>
      <c r="V32" s="16"/>
      <c r="W32" s="16"/>
      <c r="X32" s="16"/>
      <c r="Y32" s="15"/>
      <c r="Z32" s="16"/>
      <c r="AA32" s="16"/>
      <c r="AB32" s="16"/>
      <c r="AC32" s="16"/>
      <c r="AD32" s="16"/>
      <c r="AE32" s="16"/>
      <c r="AF32" s="15" t="s">
        <v>41</v>
      </c>
      <c r="AG32" s="16"/>
      <c r="AH32" s="16"/>
      <c r="AI32" s="16"/>
      <c r="AJ32" s="16"/>
      <c r="AK32" s="16"/>
      <c r="AL32" s="1"/>
      <c r="AM32" s="1"/>
      <c r="AN32" s="9"/>
      <c r="AP32" s="12"/>
      <c r="AQ32" s="1"/>
      <c r="AR32" s="1"/>
      <c r="AS32" s="1"/>
      <c r="AT32" s="1"/>
    </row>
    <row r="33" spans="1:46" s="11" customFormat="1">
      <c r="A33" s="1"/>
      <c r="B33" s="1"/>
      <c r="C33" s="1"/>
      <c r="D33" s="1"/>
      <c r="E33" s="1"/>
      <c r="F33" s="1"/>
      <c r="G33"/>
      <c r="H33" s="1"/>
      <c r="I33" s="1"/>
      <c r="J33" s="8"/>
      <c r="K33" s="8"/>
      <c r="L33" s="1"/>
      <c r="M33" t="s">
        <v>27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7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9"/>
      <c r="AP33" s="12"/>
      <c r="AQ33" s="1"/>
      <c r="AR33" s="1"/>
      <c r="AS33" s="1"/>
      <c r="AT33" s="1"/>
    </row>
    <row r="34" spans="1:46" s="11" customFormat="1">
      <c r="A34" s="1"/>
      <c r="B34" s="1"/>
      <c r="C34" s="1"/>
      <c r="D34" s="1"/>
      <c r="E34" s="1"/>
      <c r="F34" s="1"/>
      <c r="G34"/>
      <c r="H34" s="1"/>
      <c r="I34" s="1"/>
      <c r="J34" s="8"/>
      <c r="K34" s="8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7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9"/>
      <c r="AP34" s="12"/>
      <c r="AQ34" s="1"/>
      <c r="AR34" s="1"/>
      <c r="AS34" s="1"/>
      <c r="AT34" s="1"/>
    </row>
    <row r="35" spans="1:46" s="11" customFormat="1">
      <c r="A35" s="1"/>
      <c r="B35" s="1"/>
      <c r="C35" s="1"/>
      <c r="D35" s="1"/>
      <c r="E35" s="1"/>
      <c r="F35" s="1"/>
      <c r="G35"/>
      <c r="H35" s="1"/>
      <c r="I35" s="1"/>
      <c r="J35" s="8"/>
      <c r="K35" s="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7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9"/>
      <c r="AP35" s="12"/>
      <c r="AQ35" s="1"/>
      <c r="AR35" s="1"/>
      <c r="AS35" s="1"/>
      <c r="AT35" s="1"/>
    </row>
    <row r="36" spans="1:46" s="11" customFormat="1">
      <c r="A36" s="1"/>
      <c r="B36" s="1"/>
      <c r="C36" s="1"/>
      <c r="D36" s="1"/>
      <c r="E36" s="1"/>
      <c r="F36" s="1"/>
      <c r="G36"/>
      <c r="H36" s="1"/>
      <c r="I36" s="1"/>
      <c r="J36" s="8"/>
      <c r="K36" s="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7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9"/>
      <c r="AP36" s="12"/>
      <c r="AQ36" s="1"/>
      <c r="AR36" s="1"/>
      <c r="AS36" s="1"/>
      <c r="AT36" s="1"/>
    </row>
    <row r="37" spans="1:46" s="11" customFormat="1">
      <c r="A37" s="1"/>
      <c r="B37" s="1"/>
      <c r="C37" s="1"/>
      <c r="D37" s="1"/>
      <c r="E37" s="1"/>
      <c r="F37" s="1"/>
      <c r="G37"/>
      <c r="H37" s="1"/>
      <c r="I37" s="1"/>
      <c r="J37" s="8"/>
      <c r="K37" s="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7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9"/>
      <c r="AP37" s="12"/>
      <c r="AQ37" s="1"/>
      <c r="AR37" s="1"/>
      <c r="AS37" s="1"/>
      <c r="AT37" s="1"/>
    </row>
    <row r="38" spans="1:46" s="11" customFormat="1">
      <c r="A38" s="1"/>
      <c r="B38" s="1"/>
      <c r="C38" s="1"/>
      <c r="D38" s="1"/>
      <c r="E38" s="1"/>
      <c r="F38" s="1"/>
      <c r="G38"/>
      <c r="H38" s="1"/>
      <c r="I38" s="1"/>
      <c r="J38" s="8"/>
      <c r="K38" s="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7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9"/>
      <c r="AP38" s="12"/>
      <c r="AQ38" s="1"/>
      <c r="AR38" s="1"/>
      <c r="AS38" s="1"/>
      <c r="AT38" s="1"/>
    </row>
    <row r="39" spans="1:46" s="11" customFormat="1">
      <c r="A39" s="1"/>
      <c r="B39" s="1"/>
      <c r="C39" s="1"/>
      <c r="D39" s="1"/>
      <c r="E39" s="1"/>
      <c r="F39" s="1"/>
      <c r="G39"/>
      <c r="H39" s="1"/>
      <c r="I39" s="1"/>
      <c r="J39" s="8"/>
      <c r="K39" s="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7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9"/>
      <c r="AP39" s="12"/>
      <c r="AQ39" s="1"/>
      <c r="AR39" s="1"/>
      <c r="AS39" s="1"/>
      <c r="AT39" s="1"/>
    </row>
    <row r="40" spans="1:46" s="11" customFormat="1">
      <c r="A40" s="1"/>
      <c r="B40" s="1"/>
      <c r="C40" s="1"/>
      <c r="D40" s="1"/>
      <c r="E40" s="1"/>
      <c r="F40" s="1"/>
      <c r="G40"/>
      <c r="H40" s="1"/>
      <c r="I40" s="1"/>
      <c r="J40" s="8"/>
      <c r="K40" s="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7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9"/>
      <c r="AP40" s="12"/>
      <c r="AQ40" s="1"/>
      <c r="AR40" s="1"/>
      <c r="AS40" s="1"/>
      <c r="AT40" s="1"/>
    </row>
    <row r="41" spans="1:46" s="11" customFormat="1">
      <c r="A41" s="1"/>
      <c r="B41" s="1"/>
      <c r="C41" s="1"/>
      <c r="D41" s="1"/>
      <c r="E41" s="1"/>
      <c r="F41" s="1"/>
      <c r="G41"/>
      <c r="H41" s="1"/>
      <c r="I41" s="1"/>
      <c r="J41" s="8"/>
      <c r="K41" s="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7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9"/>
      <c r="AP41" s="12"/>
      <c r="AQ41" s="1"/>
      <c r="AR41" s="1"/>
      <c r="AS41" s="1"/>
      <c r="AT41" s="1"/>
    </row>
    <row r="42" spans="1:46" s="11" customFormat="1">
      <c r="A42" s="1"/>
      <c r="B42" s="1"/>
      <c r="C42" s="1"/>
      <c r="D42" s="1"/>
      <c r="E42" s="1"/>
      <c r="F42" s="1"/>
      <c r="G42"/>
      <c r="H42" s="1"/>
      <c r="I42" s="1"/>
      <c r="J42" s="8"/>
      <c r="K42" s="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7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9"/>
      <c r="AP42" s="12"/>
      <c r="AQ42" s="1"/>
      <c r="AR42" s="1"/>
      <c r="AS42" s="1"/>
      <c r="AT42" s="1"/>
    </row>
    <row r="43" spans="1:46" s="11" customFormat="1">
      <c r="A43" s="1"/>
      <c r="B43" s="1"/>
      <c r="C43" s="1"/>
      <c r="D43" s="1"/>
      <c r="E43" s="1"/>
      <c r="F43" s="1"/>
      <c r="G43"/>
      <c r="H43" s="1"/>
      <c r="I43" s="1"/>
      <c r="J43" s="8"/>
      <c r="K43" s="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7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9"/>
      <c r="AP43" s="12"/>
      <c r="AQ43" s="1"/>
      <c r="AR43" s="1"/>
      <c r="AS43" s="1"/>
      <c r="AT43" s="1"/>
    </row>
    <row r="44" spans="1:46" s="11" customFormat="1">
      <c r="A44" s="1"/>
      <c r="B44" s="1"/>
      <c r="C44" s="1"/>
      <c r="D44" s="1"/>
      <c r="E44" s="1"/>
      <c r="F44" s="1"/>
      <c r="G44"/>
      <c r="H44" s="1"/>
      <c r="I44" s="1"/>
      <c r="J44" s="8"/>
      <c r="K44" s="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7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9"/>
      <c r="AP44" s="12"/>
      <c r="AQ44" s="1"/>
      <c r="AR44" s="1"/>
      <c r="AS44" s="1"/>
      <c r="AT44" s="1"/>
    </row>
    <row r="45" spans="1:46" s="11" customFormat="1">
      <c r="A45" s="1"/>
      <c r="B45" s="1"/>
      <c r="C45" s="1"/>
      <c r="D45" s="1"/>
      <c r="E45" s="1"/>
      <c r="F45" s="1"/>
      <c r="G45"/>
      <c r="H45" s="1"/>
      <c r="I45" s="1"/>
      <c r="J45" s="8"/>
      <c r="K45" s="8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7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9"/>
      <c r="AP45" s="12"/>
      <c r="AQ45" s="1"/>
      <c r="AR45" s="1"/>
      <c r="AS45" s="1"/>
      <c r="AT45" s="1"/>
    </row>
    <row r="46" spans="1:46">
      <c r="Y46" s="1"/>
      <c r="AD46" s="1"/>
    </row>
    <row r="47" spans="1:46" ht="40">
      <c r="R47" s="125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51" priority="11" operator="equal">
      <formula>8</formula>
    </cfRule>
    <cfRule type="cellIs" dxfId="150" priority="12" operator="equal">
      <formula>0</formula>
    </cfRule>
  </conditionalFormatting>
  <conditionalFormatting sqref="BZ19:BZ20">
    <cfRule type="cellIs" dxfId="149" priority="5" operator="equal">
      <formula>8</formula>
    </cfRule>
    <cfRule type="cellIs" dxfId="148" priority="6" operator="equal">
      <formula>0</formula>
    </cfRule>
  </conditionalFormatting>
  <conditionalFormatting sqref="CA18">
    <cfRule type="cellIs" dxfId="147" priority="1" operator="equal">
      <formula>8</formula>
    </cfRule>
    <cfRule type="cellIs" dxfId="146" priority="2" operator="equal">
      <formula>0</formula>
    </cfRule>
  </conditionalFormatting>
  <conditionalFormatting sqref="CA24">
    <cfRule type="cellIs" dxfId="145" priority="3" operator="equal">
      <formula>8</formula>
    </cfRule>
    <cfRule type="cellIs" dxfId="144" priority="4" operator="equal">
      <formula>0</formula>
    </cfRule>
  </conditionalFormatting>
  <conditionalFormatting sqref="CB23">
    <cfRule type="cellIs" dxfId="143" priority="7" operator="equal">
      <formula>8</formula>
    </cfRule>
    <cfRule type="cellIs" dxfId="142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27" sqref="B27:E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8" customWidth="1"/>
    <col min="12" max="24" width="3.6640625" style="1" customWidth="1"/>
    <col min="25" max="25" width="3.6640625" style="38" customWidth="1"/>
    <col min="26" max="28" width="3.6640625" style="1" customWidth="1"/>
    <col min="29" max="29" width="3.6640625" style="7" customWidth="1"/>
    <col min="30" max="30" width="3.6640625" style="41" customWidth="1"/>
    <col min="31" max="39" width="3.6640625" style="1" customWidth="1"/>
    <col min="40" max="40" width="8.6640625" style="9" customWidth="1"/>
    <col min="41" max="41" width="5.1640625" style="11" customWidth="1"/>
    <col min="42" max="42" width="9" style="12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18"/>
      <c r="B1" s="729" t="s">
        <v>240</v>
      </c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  <c r="AA1" s="729"/>
      <c r="AB1" s="729"/>
      <c r="AC1" s="729"/>
      <c r="AD1" s="729"/>
      <c r="AE1" s="729"/>
      <c r="AF1" s="729"/>
      <c r="AG1" s="729"/>
      <c r="AH1" s="729"/>
      <c r="AI1" s="729"/>
      <c r="AJ1" s="729"/>
      <c r="AK1" s="729"/>
      <c r="AL1" s="729"/>
      <c r="AM1" s="729"/>
      <c r="AN1" s="729"/>
      <c r="AO1" s="729"/>
    </row>
    <row r="2" spans="1:81" ht="22.5" customHeight="1">
      <c r="A2" s="1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29"/>
      <c r="AB2" s="729"/>
      <c r="AC2" s="729"/>
      <c r="AD2" s="729"/>
      <c r="AE2" s="729"/>
      <c r="AF2" s="729"/>
      <c r="AG2" s="729"/>
      <c r="AH2" s="729"/>
      <c r="AI2" s="729"/>
      <c r="AJ2" s="729"/>
      <c r="AK2" s="729"/>
      <c r="AL2" s="729"/>
      <c r="AM2" s="729"/>
      <c r="AN2" s="729"/>
      <c r="AO2" s="729"/>
    </row>
    <row r="3" spans="1:81" ht="22.5" customHeight="1">
      <c r="A3" s="18"/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R3" s="730"/>
      <c r="S3" s="730"/>
      <c r="T3" s="730"/>
      <c r="U3" s="730"/>
      <c r="V3" s="730"/>
      <c r="W3" s="730"/>
      <c r="X3" s="730"/>
      <c r="Y3" s="730"/>
      <c r="Z3" s="730"/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</row>
    <row r="4" spans="1:81" ht="25" customHeight="1">
      <c r="B4" s="731"/>
      <c r="C4" s="733" t="s">
        <v>6</v>
      </c>
      <c r="D4" s="734"/>
      <c r="E4" s="734"/>
      <c r="F4" s="735"/>
      <c r="G4" s="411">
        <v>1</v>
      </c>
      <c r="H4" s="412">
        <v>2</v>
      </c>
      <c r="I4" s="127">
        <v>3</v>
      </c>
      <c r="J4" s="127">
        <v>4</v>
      </c>
      <c r="K4" s="51">
        <v>5</v>
      </c>
      <c r="L4" s="51">
        <v>6</v>
      </c>
      <c r="M4" s="127">
        <v>7</v>
      </c>
      <c r="N4" s="127">
        <v>8</v>
      </c>
      <c r="O4" s="127">
        <v>9</v>
      </c>
      <c r="P4" s="37">
        <v>10</v>
      </c>
      <c r="Q4" s="127">
        <v>11</v>
      </c>
      <c r="R4" s="51">
        <v>12</v>
      </c>
      <c r="S4" s="37">
        <v>13</v>
      </c>
      <c r="T4" s="37">
        <v>14</v>
      </c>
      <c r="U4" s="37">
        <v>15</v>
      </c>
      <c r="V4" s="37">
        <v>16</v>
      </c>
      <c r="W4" s="37">
        <v>17</v>
      </c>
      <c r="X4" s="127">
        <v>18</v>
      </c>
      <c r="Y4" s="51">
        <v>19</v>
      </c>
      <c r="Z4" s="37">
        <v>20</v>
      </c>
      <c r="AA4" s="37">
        <v>21</v>
      </c>
      <c r="AB4" s="37">
        <v>22</v>
      </c>
      <c r="AC4" s="37">
        <v>23</v>
      </c>
      <c r="AD4" s="37">
        <v>24</v>
      </c>
      <c r="AE4" s="127">
        <v>25</v>
      </c>
      <c r="AF4" s="51">
        <v>26</v>
      </c>
      <c r="AG4" s="37">
        <v>27</v>
      </c>
      <c r="AH4" s="37">
        <v>28</v>
      </c>
      <c r="AI4" s="37">
        <v>29</v>
      </c>
      <c r="AJ4" s="37">
        <v>30</v>
      </c>
      <c r="AK4" s="413">
        <v>31</v>
      </c>
      <c r="AL4" s="736" t="s">
        <v>35</v>
      </c>
      <c r="AM4" s="737"/>
      <c r="AN4" s="737"/>
      <c r="AO4" s="738"/>
      <c r="AP4" s="10"/>
    </row>
    <row r="5" spans="1:81" ht="25" customHeight="1">
      <c r="B5" s="732"/>
      <c r="C5" s="739" t="s">
        <v>7</v>
      </c>
      <c r="D5" s="740"/>
      <c r="E5" s="741" t="s">
        <v>8</v>
      </c>
      <c r="F5" s="742"/>
      <c r="G5" s="251" t="s">
        <v>50</v>
      </c>
      <c r="H5" s="252" t="s">
        <v>239</v>
      </c>
      <c r="I5" s="186" t="s">
        <v>11</v>
      </c>
      <c r="J5" s="186" t="s">
        <v>12</v>
      </c>
      <c r="K5" s="188" t="s">
        <v>13</v>
      </c>
      <c r="L5" s="188" t="s">
        <v>14</v>
      </c>
      <c r="M5" s="186" t="s">
        <v>15</v>
      </c>
      <c r="N5" s="186" t="s">
        <v>9</v>
      </c>
      <c r="O5" s="186" t="s">
        <v>10</v>
      </c>
      <c r="P5" s="252" t="s">
        <v>11</v>
      </c>
      <c r="Q5" s="186" t="s">
        <v>12</v>
      </c>
      <c r="R5" s="188" t="s">
        <v>13</v>
      </c>
      <c r="S5" s="252" t="s">
        <v>14</v>
      </c>
      <c r="T5" s="252" t="s">
        <v>15</v>
      </c>
      <c r="U5" s="252" t="s">
        <v>9</v>
      </c>
      <c r="V5" s="252" t="s">
        <v>10</v>
      </c>
      <c r="W5" s="252" t="s">
        <v>11</v>
      </c>
      <c r="X5" s="186" t="s">
        <v>12</v>
      </c>
      <c r="Y5" s="188" t="s">
        <v>13</v>
      </c>
      <c r="Z5" s="252" t="s">
        <v>14</v>
      </c>
      <c r="AA5" s="252" t="s">
        <v>15</v>
      </c>
      <c r="AB5" s="252" t="s">
        <v>9</v>
      </c>
      <c r="AC5" s="252" t="s">
        <v>10</v>
      </c>
      <c r="AD5" s="252" t="s">
        <v>11</v>
      </c>
      <c r="AE5" s="186" t="s">
        <v>12</v>
      </c>
      <c r="AF5" s="188" t="s">
        <v>13</v>
      </c>
      <c r="AG5" s="252" t="s">
        <v>14</v>
      </c>
      <c r="AH5" s="252" t="s">
        <v>15</v>
      </c>
      <c r="AI5" s="252" t="s">
        <v>9</v>
      </c>
      <c r="AJ5" s="252" t="s">
        <v>10</v>
      </c>
      <c r="AK5" s="420" t="s">
        <v>11</v>
      </c>
      <c r="AL5" s="3" t="s">
        <v>0</v>
      </c>
      <c r="AM5" s="35" t="s">
        <v>2</v>
      </c>
      <c r="AN5" s="253" t="s">
        <v>1</v>
      </c>
      <c r="AO5" s="36" t="s">
        <v>16</v>
      </c>
      <c r="AP5" s="10"/>
    </row>
    <row r="6" spans="1:81" ht="22" customHeight="1">
      <c r="B6" s="353">
        <v>1</v>
      </c>
      <c r="C6" s="718" t="s">
        <v>191</v>
      </c>
      <c r="D6" s="719"/>
      <c r="E6" s="720" t="s">
        <v>34</v>
      </c>
      <c r="F6" s="721"/>
      <c r="G6" s="431"/>
      <c r="H6" s="39"/>
      <c r="I6" s="48"/>
      <c r="J6" s="48"/>
      <c r="K6" s="39" t="s">
        <v>1</v>
      </c>
      <c r="L6" s="421"/>
      <c r="M6" s="48"/>
      <c r="N6" s="48"/>
      <c r="O6" s="48"/>
      <c r="P6" s="39"/>
      <c r="Q6" s="48"/>
      <c r="R6" s="39" t="s">
        <v>1</v>
      </c>
      <c r="S6" s="39"/>
      <c r="T6" s="39"/>
      <c r="U6" s="39"/>
      <c r="V6" s="39"/>
      <c r="W6" s="39"/>
      <c r="X6" s="48"/>
      <c r="Y6" s="39" t="s">
        <v>1</v>
      </c>
      <c r="Z6" s="39"/>
      <c r="AA6" s="39"/>
      <c r="AB6" s="39"/>
      <c r="AC6" s="39"/>
      <c r="AD6" s="39"/>
      <c r="AE6" s="48"/>
      <c r="AF6" s="39" t="s">
        <v>1</v>
      </c>
      <c r="AG6" s="39"/>
      <c r="AH6" s="39"/>
      <c r="AI6" s="39"/>
      <c r="AJ6" s="39"/>
      <c r="AK6" s="88"/>
      <c r="AL6" s="55">
        <f t="shared" ref="AL6:AL25" si="0">COUNTIF(G6:AK6,"▲")</f>
        <v>0</v>
      </c>
      <c r="AM6" s="21">
        <f t="shared" ref="AM6:AM25" si="1">COUNTIF(G6:AK6,"D")</f>
        <v>0</v>
      </c>
      <c r="AN6" s="22">
        <f t="shared" ref="AN6:AN25" si="2">COUNTIF(G6:AK6,"●")</f>
        <v>4</v>
      </c>
      <c r="AO6" s="27">
        <f t="shared" ref="AO6:AO25" si="3">AN6+AL6</f>
        <v>4</v>
      </c>
      <c r="AP6" s="10"/>
    </row>
    <row r="7" spans="1:81" ht="21.75" customHeight="1">
      <c r="B7" s="54">
        <v>2</v>
      </c>
      <c r="C7" s="710" t="s">
        <v>22</v>
      </c>
      <c r="D7" s="722"/>
      <c r="E7" s="723" t="s">
        <v>23</v>
      </c>
      <c r="F7" s="724"/>
      <c r="G7" s="432"/>
      <c r="H7" s="93"/>
      <c r="I7" s="43"/>
      <c r="J7" s="43"/>
      <c r="K7" s="93" t="s">
        <v>21</v>
      </c>
      <c r="L7" s="422"/>
      <c r="M7" s="93"/>
      <c r="N7" s="43"/>
      <c r="O7" s="93"/>
      <c r="P7" s="43"/>
      <c r="Q7" s="43"/>
      <c r="R7" s="93" t="s">
        <v>21</v>
      </c>
      <c r="S7" s="93"/>
      <c r="T7" s="93"/>
      <c r="U7" s="43"/>
      <c r="V7" s="141"/>
      <c r="W7" s="43"/>
      <c r="X7" s="43"/>
      <c r="Y7" s="93" t="s">
        <v>21</v>
      </c>
      <c r="Z7" s="50"/>
      <c r="AA7" s="93"/>
      <c r="AB7" s="43"/>
      <c r="AC7" s="43"/>
      <c r="AD7" s="43"/>
      <c r="AE7" s="43"/>
      <c r="AF7" s="93" t="s">
        <v>21</v>
      </c>
      <c r="AG7" s="50"/>
      <c r="AH7" s="93"/>
      <c r="AI7" s="43"/>
      <c r="AJ7" s="50"/>
      <c r="AK7" s="132"/>
      <c r="AL7" s="221">
        <f t="shared" si="0"/>
        <v>0</v>
      </c>
      <c r="AM7" s="260">
        <f t="shared" si="1"/>
        <v>0</v>
      </c>
      <c r="AN7" s="32">
        <f t="shared" si="2"/>
        <v>4</v>
      </c>
      <c r="AO7" s="167">
        <f t="shared" si="3"/>
        <v>4</v>
      </c>
      <c r="AP7" s="10"/>
      <c r="AT7"/>
    </row>
    <row r="8" spans="1:81" ht="22" customHeight="1">
      <c r="B8" s="353">
        <v>3</v>
      </c>
      <c r="C8" s="725" t="s">
        <v>36</v>
      </c>
      <c r="D8" s="726"/>
      <c r="E8" s="727" t="s">
        <v>37</v>
      </c>
      <c r="F8" s="728"/>
      <c r="G8" s="433"/>
      <c r="H8" s="424" t="s">
        <v>243</v>
      </c>
      <c r="I8" s="71"/>
      <c r="J8" s="71"/>
      <c r="K8" s="71" t="s">
        <v>21</v>
      </c>
      <c r="L8" s="246"/>
      <c r="M8" s="71"/>
      <c r="N8" s="170"/>
      <c r="O8" s="71"/>
      <c r="P8" s="71"/>
      <c r="Q8" s="71"/>
      <c r="R8" s="71" t="s">
        <v>21</v>
      </c>
      <c r="S8" s="71"/>
      <c r="T8" s="71"/>
      <c r="U8" s="71"/>
      <c r="V8" s="71"/>
      <c r="W8" s="71"/>
      <c r="X8" s="170"/>
      <c r="Y8" s="71" t="s">
        <v>21</v>
      </c>
      <c r="Z8" s="71"/>
      <c r="AA8" s="71"/>
      <c r="AB8" s="71"/>
      <c r="AC8" s="71"/>
      <c r="AD8" s="71"/>
      <c r="AE8" s="170"/>
      <c r="AF8" s="71" t="s">
        <v>21</v>
      </c>
      <c r="AG8" s="71"/>
      <c r="AH8" s="71"/>
      <c r="AI8" s="71"/>
      <c r="AJ8" s="42"/>
      <c r="AK8" s="247"/>
      <c r="AL8" s="55">
        <f t="shared" si="0"/>
        <v>0</v>
      </c>
      <c r="AM8" s="21">
        <f t="shared" si="1"/>
        <v>1</v>
      </c>
      <c r="AN8" s="22">
        <f t="shared" si="2"/>
        <v>4</v>
      </c>
      <c r="AO8" s="27">
        <f t="shared" si="3"/>
        <v>4</v>
      </c>
      <c r="AP8" s="10" t="s">
        <v>183</v>
      </c>
      <c r="AR8"/>
    </row>
    <row r="9" spans="1:81" ht="22" customHeight="1">
      <c r="A9" s="701"/>
      <c r="B9" s="20">
        <v>4</v>
      </c>
      <c r="C9" s="781" t="s">
        <v>46</v>
      </c>
      <c r="D9" s="782"/>
      <c r="E9" s="704" t="s">
        <v>24</v>
      </c>
      <c r="F9" s="783"/>
      <c r="G9" s="434"/>
      <c r="H9" s="388" t="s">
        <v>2</v>
      </c>
      <c r="I9" s="40"/>
      <c r="J9" s="59"/>
      <c r="K9" s="59" t="s">
        <v>21</v>
      </c>
      <c r="L9" s="162"/>
      <c r="M9" s="59"/>
      <c r="N9" s="40"/>
      <c r="O9" s="40"/>
      <c r="P9" s="40"/>
      <c r="Q9" s="57"/>
      <c r="R9" s="59" t="s">
        <v>21</v>
      </c>
      <c r="S9" s="40"/>
      <c r="T9" s="59"/>
      <c r="U9" s="40"/>
      <c r="V9" s="59"/>
      <c r="W9" s="40"/>
      <c r="X9" s="40"/>
      <c r="Y9" s="59" t="s">
        <v>21</v>
      </c>
      <c r="Z9" s="57"/>
      <c r="AA9" s="59"/>
      <c r="AB9" s="40"/>
      <c r="AC9" s="59"/>
      <c r="AD9" s="40"/>
      <c r="AE9" s="114"/>
      <c r="AF9" s="59" t="s">
        <v>21</v>
      </c>
      <c r="AG9" s="40"/>
      <c r="AH9" s="59"/>
      <c r="AI9" s="40"/>
      <c r="AJ9" s="59"/>
      <c r="AK9" s="65"/>
      <c r="AL9" s="30">
        <f t="shared" si="0"/>
        <v>0</v>
      </c>
      <c r="AM9" s="25">
        <f t="shared" si="1"/>
        <v>1</v>
      </c>
      <c r="AN9" s="26">
        <f t="shared" si="2"/>
        <v>4</v>
      </c>
      <c r="AO9" s="29">
        <f t="shared" si="3"/>
        <v>4</v>
      </c>
      <c r="AP9" s="10"/>
      <c r="AR9" t="s">
        <v>168</v>
      </c>
      <c r="AS9" t="s">
        <v>169</v>
      </c>
      <c r="AT9" t="s">
        <v>170</v>
      </c>
    </row>
    <row r="10" spans="1:81" ht="22" customHeight="1">
      <c r="A10" s="701"/>
      <c r="B10" s="20">
        <v>5</v>
      </c>
      <c r="C10" s="706" t="s">
        <v>167</v>
      </c>
      <c r="D10" s="707"/>
      <c r="E10" s="698" t="s">
        <v>24</v>
      </c>
      <c r="F10" s="780"/>
      <c r="G10" s="435"/>
      <c r="H10" s="45" t="s">
        <v>242</v>
      </c>
      <c r="I10" s="40"/>
      <c r="J10" s="40"/>
      <c r="K10" s="40" t="s">
        <v>21</v>
      </c>
      <c r="L10" s="145"/>
      <c r="M10" s="40"/>
      <c r="N10" s="40"/>
      <c r="O10" s="40"/>
      <c r="P10" s="40"/>
      <c r="Q10" s="40"/>
      <c r="R10" s="40" t="s">
        <v>21</v>
      </c>
      <c r="S10" s="57"/>
      <c r="T10" s="40"/>
      <c r="U10" s="40"/>
      <c r="V10" s="59"/>
      <c r="W10" s="40"/>
      <c r="X10" s="40"/>
      <c r="Y10" s="40" t="s">
        <v>21</v>
      </c>
      <c r="Z10" s="57"/>
      <c r="AA10" s="40"/>
      <c r="AB10" s="40"/>
      <c r="AC10" s="59"/>
      <c r="AD10" s="40"/>
      <c r="AE10" s="40"/>
      <c r="AF10" s="40" t="s">
        <v>21</v>
      </c>
      <c r="AG10" s="57"/>
      <c r="AH10" s="40"/>
      <c r="AI10" s="40"/>
      <c r="AJ10" s="59"/>
      <c r="AK10" s="65"/>
      <c r="AL10" s="30">
        <f t="shared" si="0"/>
        <v>0</v>
      </c>
      <c r="AM10" s="25">
        <f t="shared" si="1"/>
        <v>1</v>
      </c>
      <c r="AN10" s="26">
        <f t="shared" si="2"/>
        <v>4</v>
      </c>
      <c r="AO10" s="29">
        <f t="shared" si="3"/>
        <v>4</v>
      </c>
      <c r="AP10" s="238"/>
      <c r="AR10">
        <v>112</v>
      </c>
    </row>
    <row r="11" spans="1:81" ht="22" customHeight="1">
      <c r="A11" s="701"/>
      <c r="B11" s="20">
        <v>6</v>
      </c>
      <c r="C11" s="708" t="s">
        <v>241</v>
      </c>
      <c r="D11" s="709"/>
      <c r="E11" s="673" t="s">
        <v>32</v>
      </c>
      <c r="F11" s="778"/>
      <c r="G11" s="434" t="s">
        <v>248</v>
      </c>
      <c r="H11" s="45" t="s">
        <v>2</v>
      </c>
      <c r="I11" s="59"/>
      <c r="J11" s="59"/>
      <c r="K11" s="59" t="s">
        <v>21</v>
      </c>
      <c r="L11" s="425" t="s">
        <v>244</v>
      </c>
      <c r="M11" s="59"/>
      <c r="N11" s="59"/>
      <c r="O11" s="59"/>
      <c r="P11" s="59"/>
      <c r="Q11" s="130"/>
      <c r="R11" s="59" t="s">
        <v>21</v>
      </c>
      <c r="S11" s="114"/>
      <c r="T11" s="59"/>
      <c r="U11" s="114"/>
      <c r="V11" s="59"/>
      <c r="W11" s="59"/>
      <c r="X11" s="59"/>
      <c r="Y11" s="59" t="s">
        <v>21</v>
      </c>
      <c r="Z11" s="59"/>
      <c r="AA11" s="59"/>
      <c r="AB11" s="59"/>
      <c r="AC11" s="40"/>
      <c r="AD11" s="59"/>
      <c r="AE11" s="59"/>
      <c r="AF11" s="59" t="s">
        <v>21</v>
      </c>
      <c r="AG11" s="114"/>
      <c r="AH11" s="59"/>
      <c r="AI11" s="59"/>
      <c r="AJ11" s="59"/>
      <c r="AK11" s="147"/>
      <c r="AL11" s="30">
        <f t="shared" si="0"/>
        <v>0</v>
      </c>
      <c r="AM11" s="25">
        <f t="shared" si="1"/>
        <v>1</v>
      </c>
      <c r="AN11" s="26">
        <f t="shared" si="2"/>
        <v>4</v>
      </c>
      <c r="AO11" s="29">
        <f t="shared" si="3"/>
        <v>4</v>
      </c>
      <c r="AP11" s="409" t="s">
        <v>188</v>
      </c>
      <c r="AS11"/>
      <c r="AT11"/>
    </row>
    <row r="12" spans="1:81" ht="22" customHeight="1">
      <c r="A12" s="701"/>
      <c r="B12" s="54">
        <v>7</v>
      </c>
      <c r="C12" s="710" t="s">
        <v>29</v>
      </c>
      <c r="D12" s="711"/>
      <c r="E12" s="712" t="s">
        <v>28</v>
      </c>
      <c r="F12" s="784"/>
      <c r="G12" s="436"/>
      <c r="H12" s="44"/>
      <c r="I12" s="44"/>
      <c r="J12" s="44"/>
      <c r="K12" s="43" t="s">
        <v>21</v>
      </c>
      <c r="L12" s="426"/>
      <c r="M12" s="44"/>
      <c r="N12" s="44"/>
      <c r="O12" s="44"/>
      <c r="P12" s="44"/>
      <c r="Q12" s="44"/>
      <c r="R12" s="43" t="s">
        <v>21</v>
      </c>
      <c r="S12" s="83"/>
      <c r="T12" s="44"/>
      <c r="U12" s="44"/>
      <c r="V12" s="44"/>
      <c r="W12" s="44"/>
      <c r="X12" s="44"/>
      <c r="Y12" s="43" t="s">
        <v>21</v>
      </c>
      <c r="Z12" s="83"/>
      <c r="AA12" s="44"/>
      <c r="AB12" s="44"/>
      <c r="AC12" s="44"/>
      <c r="AD12" s="44"/>
      <c r="AE12" s="44"/>
      <c r="AF12" s="43" t="s">
        <v>21</v>
      </c>
      <c r="AG12" s="83"/>
      <c r="AH12" s="44"/>
      <c r="AI12" s="44"/>
      <c r="AJ12" s="44"/>
      <c r="AK12" s="132"/>
      <c r="AL12" s="221">
        <f t="shared" si="0"/>
        <v>0</v>
      </c>
      <c r="AM12" s="260">
        <f t="shared" si="1"/>
        <v>0</v>
      </c>
      <c r="AN12" s="32">
        <f t="shared" si="2"/>
        <v>4</v>
      </c>
      <c r="AO12" s="167">
        <f t="shared" si="3"/>
        <v>4</v>
      </c>
      <c r="AP12" s="10">
        <v>1</v>
      </c>
    </row>
    <row r="13" spans="1:81" ht="22" customHeight="1">
      <c r="A13" s="701"/>
      <c r="B13" s="353">
        <v>8</v>
      </c>
      <c r="C13" s="714" t="s">
        <v>25</v>
      </c>
      <c r="D13" s="715"/>
      <c r="E13" s="785" t="s">
        <v>30</v>
      </c>
      <c r="F13" s="786"/>
      <c r="G13" s="437"/>
      <c r="H13" s="39"/>
      <c r="I13" s="39"/>
      <c r="J13" s="39"/>
      <c r="K13" s="113" t="s">
        <v>21</v>
      </c>
      <c r="L13" s="427"/>
      <c r="M13" s="39"/>
      <c r="N13" s="39"/>
      <c r="O13" s="75"/>
      <c r="P13" s="39"/>
      <c r="Q13" s="75"/>
      <c r="R13" s="113" t="s">
        <v>21</v>
      </c>
      <c r="S13" s="48"/>
      <c r="T13" s="39"/>
      <c r="U13" s="75"/>
      <c r="V13" s="39"/>
      <c r="W13" s="39"/>
      <c r="X13" s="39"/>
      <c r="Y13" s="113" t="s">
        <v>21</v>
      </c>
      <c r="Z13" s="48"/>
      <c r="AA13" s="39"/>
      <c r="AB13" s="39"/>
      <c r="AC13" s="202"/>
      <c r="AD13" s="39"/>
      <c r="AE13" s="97"/>
      <c r="AF13" s="113" t="s">
        <v>21</v>
      </c>
      <c r="AG13" s="39"/>
      <c r="AH13" s="39"/>
      <c r="AI13" s="39"/>
      <c r="AJ13" s="75"/>
      <c r="AK13" s="190"/>
      <c r="AL13" s="55">
        <f t="shared" si="0"/>
        <v>0</v>
      </c>
      <c r="AM13" s="21">
        <f t="shared" si="1"/>
        <v>0</v>
      </c>
      <c r="AN13" s="22">
        <f t="shared" si="2"/>
        <v>4</v>
      </c>
      <c r="AO13" s="27">
        <f t="shared" si="3"/>
        <v>4</v>
      </c>
      <c r="AP13" s="243">
        <v>1</v>
      </c>
      <c r="AR13" s="700"/>
      <c r="AS13" s="700"/>
      <c r="AT13"/>
    </row>
    <row r="14" spans="1:81" ht="21.75" customHeight="1">
      <c r="A14" s="19" t="s">
        <v>80</v>
      </c>
      <c r="B14" s="301">
        <v>9</v>
      </c>
      <c r="C14" s="684" t="s">
        <v>49</v>
      </c>
      <c r="D14" s="685"/>
      <c r="E14" s="698" t="s">
        <v>31</v>
      </c>
      <c r="F14" s="780"/>
      <c r="G14" s="435" t="s">
        <v>165</v>
      </c>
      <c r="H14" s="40"/>
      <c r="I14" s="40"/>
      <c r="J14" s="40"/>
      <c r="K14" s="68" t="s">
        <v>21</v>
      </c>
      <c r="L14" s="428" t="s">
        <v>245</v>
      </c>
      <c r="M14" s="40"/>
      <c r="N14" s="40"/>
      <c r="O14" s="40"/>
      <c r="P14" s="40"/>
      <c r="Q14" s="40"/>
      <c r="R14" s="68" t="s">
        <v>21</v>
      </c>
      <c r="S14" s="57"/>
      <c r="T14" s="40"/>
      <c r="U14" s="40"/>
      <c r="V14" s="40"/>
      <c r="W14" s="40"/>
      <c r="X14" s="114"/>
      <c r="Y14" s="68" t="s">
        <v>21</v>
      </c>
      <c r="Z14" s="40"/>
      <c r="AA14" s="40"/>
      <c r="AB14" s="40"/>
      <c r="AC14" s="40"/>
      <c r="AD14" s="40"/>
      <c r="AE14" s="40"/>
      <c r="AF14" s="68" t="s">
        <v>21</v>
      </c>
      <c r="AG14" s="114"/>
      <c r="AH14" s="40"/>
      <c r="AI14" s="40"/>
      <c r="AJ14" s="59"/>
      <c r="AK14" s="189"/>
      <c r="AL14" s="30">
        <f t="shared" si="0"/>
        <v>0</v>
      </c>
      <c r="AM14" s="25">
        <f t="shared" si="1"/>
        <v>0</v>
      </c>
      <c r="AN14" s="26">
        <f t="shared" si="2"/>
        <v>4</v>
      </c>
      <c r="AO14" s="29">
        <f t="shared" si="3"/>
        <v>4</v>
      </c>
      <c r="AP14" s="10"/>
      <c r="AQ14" t="s">
        <v>145</v>
      </c>
      <c r="AR14" s="96"/>
      <c r="AS14" s="96"/>
    </row>
    <row r="15" spans="1:81" ht="21.75" customHeight="1">
      <c r="A15" s="19"/>
      <c r="B15" s="301">
        <v>10</v>
      </c>
      <c r="C15" s="684" t="s">
        <v>114</v>
      </c>
      <c r="D15" s="685"/>
      <c r="E15" s="698" t="s">
        <v>31</v>
      </c>
      <c r="F15" s="780"/>
      <c r="G15" s="435"/>
      <c r="H15" s="59"/>
      <c r="I15" s="40"/>
      <c r="J15" s="40"/>
      <c r="K15" s="89" t="s">
        <v>21</v>
      </c>
      <c r="L15" s="429"/>
      <c r="M15" s="59"/>
      <c r="N15" s="40"/>
      <c r="O15" s="57"/>
      <c r="P15" s="40"/>
      <c r="Q15" s="40"/>
      <c r="R15" s="89" t="s">
        <v>21</v>
      </c>
      <c r="S15" s="40"/>
      <c r="T15" s="59"/>
      <c r="U15" s="40"/>
      <c r="V15" s="40"/>
      <c r="W15" s="40"/>
      <c r="X15" s="40"/>
      <c r="Y15" s="89" t="s">
        <v>21</v>
      </c>
      <c r="Z15" s="57"/>
      <c r="AA15" s="59"/>
      <c r="AB15" s="40"/>
      <c r="AC15" s="40"/>
      <c r="AD15" s="40"/>
      <c r="AE15" s="40"/>
      <c r="AF15" s="89" t="s">
        <v>21</v>
      </c>
      <c r="AG15" s="57"/>
      <c r="AH15" s="59"/>
      <c r="AI15" s="40"/>
      <c r="AJ15" s="59"/>
      <c r="AK15" s="189"/>
      <c r="AL15" s="30">
        <f t="shared" si="0"/>
        <v>0</v>
      </c>
      <c r="AM15" s="25">
        <f t="shared" si="1"/>
        <v>0</v>
      </c>
      <c r="AN15" s="26">
        <f t="shared" si="2"/>
        <v>4</v>
      </c>
      <c r="AO15" s="29">
        <f t="shared" si="3"/>
        <v>4</v>
      </c>
      <c r="AP15" s="10"/>
      <c r="AR15" s="96"/>
      <c r="AS15" s="96"/>
    </row>
    <row r="16" spans="1:81" ht="21.75" customHeight="1">
      <c r="A16" s="19"/>
      <c r="B16" s="301">
        <v>11</v>
      </c>
      <c r="C16" s="696" t="s">
        <v>192</v>
      </c>
      <c r="D16" s="697"/>
      <c r="E16" s="698" t="s">
        <v>31</v>
      </c>
      <c r="F16" s="780"/>
      <c r="G16" s="434"/>
      <c r="H16" s="59"/>
      <c r="I16" s="59"/>
      <c r="J16" s="114"/>
      <c r="K16" s="68" t="s">
        <v>21</v>
      </c>
      <c r="L16" s="425"/>
      <c r="M16" s="40"/>
      <c r="N16" s="59"/>
      <c r="O16" s="59"/>
      <c r="P16" s="59"/>
      <c r="Q16" s="59"/>
      <c r="R16" s="68" t="s">
        <v>21</v>
      </c>
      <c r="S16" s="114"/>
      <c r="T16" s="40"/>
      <c r="U16" s="59"/>
      <c r="V16" s="59"/>
      <c r="W16" s="59"/>
      <c r="X16" s="114"/>
      <c r="Y16" s="68" t="s">
        <v>21</v>
      </c>
      <c r="Z16" s="59"/>
      <c r="AA16" s="40"/>
      <c r="AB16" s="59"/>
      <c r="AC16" s="59"/>
      <c r="AD16" s="59"/>
      <c r="AE16" s="59"/>
      <c r="AF16" s="68" t="s">
        <v>21</v>
      </c>
      <c r="AG16" s="114"/>
      <c r="AH16" s="40"/>
      <c r="AI16" s="59"/>
      <c r="AJ16" s="59"/>
      <c r="AK16" s="198"/>
      <c r="AL16" s="30">
        <f t="shared" si="0"/>
        <v>0</v>
      </c>
      <c r="AM16" s="25">
        <f t="shared" si="1"/>
        <v>0</v>
      </c>
      <c r="AN16" s="26">
        <f t="shared" si="2"/>
        <v>4</v>
      </c>
      <c r="AO16" s="29">
        <f t="shared" si="3"/>
        <v>4</v>
      </c>
      <c r="AP16" s="10" t="s">
        <v>185</v>
      </c>
      <c r="AQ16" s="689"/>
      <c r="AR16" s="689"/>
      <c r="AS16" s="653"/>
      <c r="AT16" s="653"/>
      <c r="AU16" s="156"/>
      <c r="AV16" s="157"/>
      <c r="AW16" s="157"/>
      <c r="AX16" s="218"/>
      <c r="AY16" s="157"/>
      <c r="AZ16" s="218"/>
      <c r="BA16" s="157"/>
      <c r="BB16" s="203"/>
      <c r="BC16" s="157"/>
      <c r="BD16" s="157"/>
      <c r="BE16" s="157"/>
      <c r="BF16" s="157"/>
      <c r="BG16" s="157"/>
      <c r="BH16" s="157"/>
      <c r="BI16" s="156"/>
      <c r="BJ16" s="157"/>
      <c r="BK16" s="157"/>
      <c r="BL16" s="158"/>
      <c r="BM16" s="158"/>
      <c r="BN16" s="157"/>
      <c r="BO16" s="157"/>
      <c r="BP16" s="302"/>
      <c r="BQ16" s="157"/>
      <c r="BR16" s="157"/>
      <c r="BS16" s="158"/>
      <c r="BT16" s="157"/>
      <c r="BU16" s="299"/>
      <c r="BV16" s="157"/>
      <c r="BW16" s="157"/>
      <c r="BX16" s="157"/>
      <c r="BY16" s="156"/>
      <c r="BZ16" s="159"/>
      <c r="CA16" s="161"/>
      <c r="CB16" s="160"/>
      <c r="CC16" s="160"/>
    </row>
    <row r="17" spans="1:83" ht="21.75" customHeight="1">
      <c r="A17" s="19"/>
      <c r="B17" s="301">
        <v>12</v>
      </c>
      <c r="C17" s="682" t="s">
        <v>193</v>
      </c>
      <c r="D17" s="683"/>
      <c r="E17" s="698" t="s">
        <v>31</v>
      </c>
      <c r="F17" s="780"/>
      <c r="G17" s="434" t="s">
        <v>249</v>
      </c>
      <c r="H17" s="114"/>
      <c r="I17" s="59"/>
      <c r="J17" s="59"/>
      <c r="K17" s="47" t="s">
        <v>21</v>
      </c>
      <c r="L17" s="425" t="s">
        <v>246</v>
      </c>
      <c r="M17" s="59"/>
      <c r="N17" s="59"/>
      <c r="O17" s="59"/>
      <c r="P17" s="59"/>
      <c r="Q17" s="59"/>
      <c r="R17" s="47" t="s">
        <v>21</v>
      </c>
      <c r="S17" s="114"/>
      <c r="T17" s="59"/>
      <c r="U17" s="59"/>
      <c r="V17" s="59"/>
      <c r="W17" s="59"/>
      <c r="X17" s="40"/>
      <c r="Y17" s="47" t="s">
        <v>21</v>
      </c>
      <c r="Z17" s="114"/>
      <c r="AA17" s="59"/>
      <c r="AB17" s="59"/>
      <c r="AC17" s="59"/>
      <c r="AD17" s="59"/>
      <c r="AE17" s="59"/>
      <c r="AF17" s="47" t="s">
        <v>21</v>
      </c>
      <c r="AG17" s="59"/>
      <c r="AH17" s="59"/>
      <c r="AI17" s="59"/>
      <c r="AJ17" s="59"/>
      <c r="AK17" s="198"/>
      <c r="AL17" s="30">
        <f t="shared" si="0"/>
        <v>0</v>
      </c>
      <c r="AM17" s="25">
        <f t="shared" si="1"/>
        <v>0</v>
      </c>
      <c r="AN17" s="26">
        <f t="shared" si="2"/>
        <v>4</v>
      </c>
      <c r="AO17" s="29">
        <f t="shared" si="3"/>
        <v>4</v>
      </c>
      <c r="AP17" s="238"/>
      <c r="AQ17" s="689"/>
      <c r="AR17" s="689"/>
      <c r="AS17" s="653"/>
      <c r="AT17" s="653"/>
      <c r="AU17" s="156"/>
      <c r="AV17" s="157"/>
      <c r="AW17" s="157"/>
      <c r="AX17" s="158"/>
      <c r="AY17" s="156"/>
      <c r="AZ17" s="156"/>
      <c r="BA17" s="156"/>
      <c r="BB17" s="156"/>
      <c r="BC17" s="157"/>
      <c r="BD17" s="206"/>
      <c r="BE17" s="206"/>
      <c r="BF17" s="218"/>
      <c r="BG17" s="206"/>
      <c r="BH17" s="16"/>
      <c r="BI17" s="156"/>
      <c r="BJ17" s="157"/>
      <c r="BK17" s="206"/>
      <c r="BL17" s="218"/>
      <c r="BM17" s="218"/>
      <c r="BN17" s="218"/>
      <c r="BO17" s="206"/>
      <c r="BP17" s="203"/>
      <c r="BQ17" s="157"/>
      <c r="BR17" s="206"/>
      <c r="BS17" s="218"/>
      <c r="BT17" s="218"/>
      <c r="BU17" s="306"/>
      <c r="BV17" s="218"/>
      <c r="BW17" s="203"/>
      <c r="BX17" s="157"/>
      <c r="BY17" s="157"/>
      <c r="BZ17" s="159"/>
      <c r="CA17" s="161"/>
      <c r="CB17" s="160"/>
      <c r="CC17" s="160"/>
    </row>
    <row r="18" spans="1:83" ht="22" customHeight="1">
      <c r="A18" s="19"/>
      <c r="B18" s="301">
        <v>13</v>
      </c>
      <c r="C18" s="682" t="s">
        <v>95</v>
      </c>
      <c r="D18" s="683"/>
      <c r="E18" s="673" t="s">
        <v>31</v>
      </c>
      <c r="F18" s="778"/>
      <c r="G18" s="435"/>
      <c r="H18" s="59"/>
      <c r="I18" s="40"/>
      <c r="J18" s="40"/>
      <c r="K18" s="47" t="s">
        <v>21</v>
      </c>
      <c r="L18" s="429"/>
      <c r="M18" s="59"/>
      <c r="N18" s="40"/>
      <c r="O18" s="40"/>
      <c r="P18" s="40"/>
      <c r="Q18" s="40"/>
      <c r="R18" s="47" t="s">
        <v>21</v>
      </c>
      <c r="S18" s="57"/>
      <c r="T18" s="59"/>
      <c r="U18" s="40"/>
      <c r="V18" s="40"/>
      <c r="W18" s="126"/>
      <c r="X18" s="40"/>
      <c r="Y18" s="47" t="s">
        <v>21</v>
      </c>
      <c r="Z18" s="40"/>
      <c r="AA18" s="59"/>
      <c r="AB18" s="40"/>
      <c r="AC18" s="40"/>
      <c r="AD18" s="130"/>
      <c r="AE18" s="40"/>
      <c r="AF18" s="47" t="s">
        <v>21</v>
      </c>
      <c r="AG18" s="57"/>
      <c r="AH18" s="59"/>
      <c r="AI18" s="40"/>
      <c r="AJ18" s="40"/>
      <c r="AK18" s="189"/>
      <c r="AL18" s="30">
        <f t="shared" si="0"/>
        <v>0</v>
      </c>
      <c r="AM18" s="25">
        <f t="shared" si="1"/>
        <v>0</v>
      </c>
      <c r="AN18" s="26">
        <f t="shared" si="2"/>
        <v>4</v>
      </c>
      <c r="AO18" s="29">
        <f t="shared" si="3"/>
        <v>4</v>
      </c>
      <c r="AP18" s="10" t="s">
        <v>187</v>
      </c>
      <c r="AQ18" s="303"/>
      <c r="AR18" s="692"/>
      <c r="AS18" s="692"/>
      <c r="AT18" s="693"/>
      <c r="AU18" s="693"/>
      <c r="AV18" s="158"/>
      <c r="AW18" s="157"/>
      <c r="AX18" s="157"/>
      <c r="AY18" s="158"/>
      <c r="AZ18" s="157"/>
      <c r="BA18" s="157"/>
      <c r="BB18" s="157"/>
      <c r="BC18" s="157"/>
      <c r="BD18" s="157"/>
      <c r="BE18" s="157"/>
      <c r="BF18" s="158"/>
      <c r="BG18" s="157"/>
      <c r="BH18" s="158"/>
      <c r="BI18" s="158"/>
      <c r="BJ18" s="158"/>
      <c r="BK18" s="157"/>
      <c r="BL18" s="158"/>
      <c r="BM18" s="157"/>
      <c r="BN18" s="157"/>
      <c r="BO18" s="304"/>
      <c r="BP18" s="157"/>
      <c r="BQ18" s="157"/>
      <c r="BR18" s="157"/>
      <c r="BS18" s="157"/>
      <c r="BT18" s="158"/>
      <c r="BU18" s="157"/>
      <c r="BV18" s="299"/>
      <c r="BW18" s="157"/>
      <c r="BX18" s="158"/>
      <c r="BY18" s="157"/>
      <c r="BZ18" s="158"/>
      <c r="CA18" s="305"/>
      <c r="CB18" s="161"/>
      <c r="CC18" s="161"/>
      <c r="CD18" s="161"/>
    </row>
    <row r="19" spans="1:83" ht="22" customHeight="1">
      <c r="A19" s="19"/>
      <c r="B19" s="301">
        <v>14</v>
      </c>
      <c r="C19" s="684" t="s">
        <v>200</v>
      </c>
      <c r="D19" s="685"/>
      <c r="E19" s="694" t="s">
        <v>31</v>
      </c>
      <c r="F19" s="779"/>
      <c r="G19" s="435"/>
      <c r="H19" s="40"/>
      <c r="I19" s="40"/>
      <c r="J19" s="40"/>
      <c r="K19" s="64" t="s">
        <v>21</v>
      </c>
      <c r="L19" s="429"/>
      <c r="M19" s="40"/>
      <c r="N19" s="40"/>
      <c r="O19" s="40"/>
      <c r="P19" s="57"/>
      <c r="Q19" s="40"/>
      <c r="R19" s="64" t="s">
        <v>21</v>
      </c>
      <c r="S19" s="40"/>
      <c r="T19" s="40"/>
      <c r="U19" s="40"/>
      <c r="V19" s="40"/>
      <c r="W19" s="40"/>
      <c r="X19" s="40"/>
      <c r="Y19" s="64" t="s">
        <v>21</v>
      </c>
      <c r="Z19" s="114"/>
      <c r="AA19" s="40"/>
      <c r="AB19" s="40"/>
      <c r="AC19" s="59"/>
      <c r="AD19" s="40"/>
      <c r="AE19" s="40"/>
      <c r="AF19" s="64" t="s">
        <v>21</v>
      </c>
      <c r="AG19" s="57"/>
      <c r="AH19" s="40"/>
      <c r="AI19" s="40"/>
      <c r="AJ19" s="59"/>
      <c r="AK19" s="189"/>
      <c r="AL19" s="30">
        <f t="shared" si="0"/>
        <v>0</v>
      </c>
      <c r="AM19" s="25">
        <f t="shared" si="1"/>
        <v>0</v>
      </c>
      <c r="AN19" s="26">
        <f t="shared" si="2"/>
        <v>4</v>
      </c>
      <c r="AO19" s="29">
        <f t="shared" si="3"/>
        <v>4</v>
      </c>
      <c r="AP19" s="10" t="s">
        <v>184</v>
      </c>
      <c r="AQ19" s="652"/>
      <c r="AR19" s="652"/>
      <c r="AS19" s="653"/>
      <c r="AT19" s="653"/>
      <c r="AU19" s="158"/>
      <c r="AV19" s="157"/>
      <c r="AW19" s="157"/>
      <c r="AX19" s="158"/>
      <c r="AY19" s="157"/>
      <c r="AZ19" s="156"/>
      <c r="BA19" s="157"/>
      <c r="BB19" s="156"/>
      <c r="BC19" s="157"/>
      <c r="BD19" s="157"/>
      <c r="BE19" s="157"/>
      <c r="BF19" s="157"/>
      <c r="BG19" s="157"/>
      <c r="BH19" s="157"/>
      <c r="BI19" s="158"/>
      <c r="BJ19" s="157"/>
      <c r="BK19" s="157"/>
      <c r="BL19" s="156"/>
      <c r="BM19" s="157"/>
      <c r="BN19" s="157"/>
      <c r="BO19" s="203"/>
      <c r="BP19" s="158"/>
      <c r="BQ19" s="157"/>
      <c r="BR19" s="203"/>
      <c r="BS19" s="156"/>
      <c r="BT19" s="157"/>
      <c r="BU19" s="299"/>
      <c r="BV19" s="157"/>
      <c r="BW19" s="203"/>
      <c r="BX19" s="157"/>
      <c r="BY19" s="157"/>
      <c r="BZ19" s="159"/>
      <c r="CA19" s="161"/>
      <c r="CB19" s="160"/>
      <c r="CC19" s="160"/>
    </row>
    <row r="20" spans="1:83" ht="22" customHeight="1">
      <c r="A20" s="19"/>
      <c r="B20" s="301">
        <v>15</v>
      </c>
      <c r="C20" s="684" t="s">
        <v>194</v>
      </c>
      <c r="D20" s="685"/>
      <c r="E20" s="686" t="s">
        <v>31</v>
      </c>
      <c r="F20" s="776"/>
      <c r="G20" s="435" t="s">
        <v>250</v>
      </c>
      <c r="H20" s="40"/>
      <c r="I20" s="40"/>
      <c r="J20" s="40"/>
      <c r="K20" s="59" t="s">
        <v>21</v>
      </c>
      <c r="L20" s="430" t="s">
        <v>247</v>
      </c>
      <c r="M20" s="59"/>
      <c r="N20" s="40"/>
      <c r="O20" s="40"/>
      <c r="P20" s="40"/>
      <c r="Q20" s="40"/>
      <c r="R20" s="59" t="s">
        <v>21</v>
      </c>
      <c r="S20" s="40"/>
      <c r="T20" s="59"/>
      <c r="U20" s="40"/>
      <c r="V20" s="40"/>
      <c r="W20" s="40"/>
      <c r="X20" s="40"/>
      <c r="Y20" s="59" t="s">
        <v>21</v>
      </c>
      <c r="Z20" s="57"/>
      <c r="AA20" s="59"/>
      <c r="AB20" s="59"/>
      <c r="AC20" s="59"/>
      <c r="AD20" s="40"/>
      <c r="AE20" s="40"/>
      <c r="AF20" s="59" t="s">
        <v>21</v>
      </c>
      <c r="AG20" s="57"/>
      <c r="AH20" s="59"/>
      <c r="AI20" s="40"/>
      <c r="AJ20" s="40"/>
      <c r="AK20" s="189"/>
      <c r="AL20" s="30">
        <f t="shared" si="0"/>
        <v>0</v>
      </c>
      <c r="AM20" s="25">
        <f t="shared" si="1"/>
        <v>0</v>
      </c>
      <c r="AN20" s="26">
        <f t="shared" si="2"/>
        <v>4</v>
      </c>
      <c r="AO20" s="29">
        <f t="shared" si="3"/>
        <v>4</v>
      </c>
      <c r="AP20" s="10">
        <v>2</v>
      </c>
      <c r="AQ20" s="652"/>
      <c r="AR20" s="652"/>
      <c r="AS20" s="653"/>
      <c r="AT20" s="653"/>
      <c r="AU20" s="203"/>
      <c r="AV20" s="158"/>
      <c r="AW20" s="157"/>
      <c r="AX20" s="158"/>
      <c r="AY20" s="158"/>
      <c r="AZ20" s="157"/>
      <c r="BA20" s="157"/>
      <c r="BB20" s="203"/>
      <c r="BC20" s="158"/>
      <c r="BD20" s="157"/>
      <c r="BE20" s="156"/>
      <c r="BF20" s="158"/>
      <c r="BG20" s="158"/>
      <c r="BH20" s="157"/>
      <c r="BI20" s="158"/>
      <c r="BJ20" s="158"/>
      <c r="BK20" s="158"/>
      <c r="BL20" s="158"/>
      <c r="BM20" s="158"/>
      <c r="BN20" s="158"/>
      <c r="BO20" s="158"/>
      <c r="BP20" s="203"/>
      <c r="BQ20" s="158"/>
      <c r="BR20" s="157"/>
      <c r="BS20" s="158"/>
      <c r="BT20" s="158"/>
      <c r="BU20" s="158"/>
      <c r="BV20" s="156"/>
      <c r="BW20" s="158"/>
      <c r="BX20" s="158"/>
      <c r="BY20" s="156"/>
      <c r="BZ20" s="159"/>
      <c r="CA20" s="161"/>
      <c r="CB20" s="160"/>
      <c r="CC20" s="160"/>
    </row>
    <row r="21" spans="1:83" ht="22" customHeight="1">
      <c r="A21" s="19"/>
      <c r="B21" s="301">
        <v>16</v>
      </c>
      <c r="C21" s="690" t="s">
        <v>38</v>
      </c>
      <c r="D21" s="691"/>
      <c r="E21" s="686" t="s">
        <v>196</v>
      </c>
      <c r="F21" s="776"/>
      <c r="G21" s="435"/>
      <c r="H21" s="59"/>
      <c r="I21" s="40"/>
      <c r="J21" s="40"/>
      <c r="K21" s="59" t="s">
        <v>21</v>
      </c>
      <c r="L21" s="162"/>
      <c r="M21" s="59"/>
      <c r="N21" s="40"/>
      <c r="O21" s="57"/>
      <c r="P21" s="40"/>
      <c r="Q21" s="40"/>
      <c r="R21" s="59" t="s">
        <v>21</v>
      </c>
      <c r="S21" s="40"/>
      <c r="T21" s="59"/>
      <c r="U21" s="40"/>
      <c r="V21" s="59"/>
      <c r="W21" s="40"/>
      <c r="X21" s="40"/>
      <c r="Y21" s="59" t="s">
        <v>21</v>
      </c>
      <c r="Z21" s="57"/>
      <c r="AA21" s="59"/>
      <c r="AB21" s="40"/>
      <c r="AC21" s="40"/>
      <c r="AD21" s="40"/>
      <c r="AE21" s="40"/>
      <c r="AF21" s="59" t="s">
        <v>21</v>
      </c>
      <c r="AG21" s="40"/>
      <c r="AH21" s="59"/>
      <c r="AI21" s="40"/>
      <c r="AJ21" s="40"/>
      <c r="AK21" s="189"/>
      <c r="AL21" s="30">
        <f t="shared" si="0"/>
        <v>0</v>
      </c>
      <c r="AM21" s="25">
        <f t="shared" si="1"/>
        <v>0</v>
      </c>
      <c r="AN21" s="26">
        <f t="shared" si="2"/>
        <v>4</v>
      </c>
      <c r="AO21" s="29">
        <f t="shared" si="3"/>
        <v>4</v>
      </c>
      <c r="AP21" s="10"/>
      <c r="AR21" s="652"/>
      <c r="AS21" s="652"/>
    </row>
    <row r="22" spans="1:83" ht="22" customHeight="1">
      <c r="A22" s="19"/>
      <c r="B22" s="301">
        <v>17</v>
      </c>
      <c r="C22" s="687" t="s">
        <v>201</v>
      </c>
      <c r="D22" s="688"/>
      <c r="E22" s="686" t="s">
        <v>31</v>
      </c>
      <c r="F22" s="776"/>
      <c r="G22" s="435"/>
      <c r="H22" s="40"/>
      <c r="I22" s="40"/>
      <c r="J22" s="40"/>
      <c r="K22" s="40" t="s">
        <v>21</v>
      </c>
      <c r="L22" s="162"/>
      <c r="M22" s="40"/>
      <c r="N22" s="40"/>
      <c r="O22" s="40"/>
      <c r="P22" s="40"/>
      <c r="Q22" s="59"/>
      <c r="R22" s="40" t="s">
        <v>21</v>
      </c>
      <c r="S22" s="57"/>
      <c r="T22" s="40"/>
      <c r="U22" s="57"/>
      <c r="V22" s="40"/>
      <c r="W22" s="40"/>
      <c r="X22" s="40"/>
      <c r="Y22" s="40" t="s">
        <v>21</v>
      </c>
      <c r="Z22" s="401"/>
      <c r="AA22" s="40"/>
      <c r="AB22" s="40"/>
      <c r="AC22" s="40"/>
      <c r="AD22" s="40"/>
      <c r="AE22" s="59"/>
      <c r="AF22" s="40" t="s">
        <v>21</v>
      </c>
      <c r="AG22" s="57"/>
      <c r="AH22" s="40"/>
      <c r="AI22" s="40"/>
      <c r="AJ22" s="40"/>
      <c r="AK22" s="189"/>
      <c r="AL22" s="30">
        <f t="shared" si="0"/>
        <v>0</v>
      </c>
      <c r="AM22" s="25">
        <f t="shared" si="1"/>
        <v>0</v>
      </c>
      <c r="AN22" s="26">
        <f t="shared" si="2"/>
        <v>4</v>
      </c>
      <c r="AO22" s="29">
        <f t="shared" si="3"/>
        <v>4</v>
      </c>
      <c r="AP22" s="10"/>
      <c r="AR22" s="96"/>
      <c r="AS22" s="96"/>
    </row>
    <row r="23" spans="1:83" ht="22" customHeight="1">
      <c r="A23" s="19"/>
      <c r="B23" s="54">
        <v>18</v>
      </c>
      <c r="C23" s="675" t="s">
        <v>202</v>
      </c>
      <c r="D23" s="676"/>
      <c r="E23" s="677" t="s">
        <v>31</v>
      </c>
      <c r="F23" s="777"/>
      <c r="G23" s="438"/>
      <c r="H23" s="93"/>
      <c r="I23" s="93"/>
      <c r="J23" s="93"/>
      <c r="K23" s="121" t="s">
        <v>21</v>
      </c>
      <c r="L23" s="245"/>
      <c r="M23" s="93"/>
      <c r="N23" s="93"/>
      <c r="O23" s="43"/>
      <c r="P23" s="93"/>
      <c r="Q23" s="141"/>
      <c r="R23" s="121" t="s">
        <v>21</v>
      </c>
      <c r="S23" s="50"/>
      <c r="T23" s="43"/>
      <c r="U23" s="43"/>
      <c r="V23" s="43"/>
      <c r="W23" s="43"/>
      <c r="X23" s="43"/>
      <c r="Y23" s="121" t="s">
        <v>21</v>
      </c>
      <c r="Z23" s="419"/>
      <c r="AA23" s="43"/>
      <c r="AB23" s="43"/>
      <c r="AC23" s="43"/>
      <c r="AD23" s="43"/>
      <c r="AE23" s="141"/>
      <c r="AF23" s="121" t="s">
        <v>21</v>
      </c>
      <c r="AG23" s="93"/>
      <c r="AH23" s="93"/>
      <c r="AI23" s="93"/>
      <c r="AJ23" s="93"/>
      <c r="AK23" s="72"/>
      <c r="AL23" s="31">
        <f t="shared" si="0"/>
        <v>0</v>
      </c>
      <c r="AM23" s="23">
        <f t="shared" si="1"/>
        <v>0</v>
      </c>
      <c r="AN23" s="24">
        <f t="shared" si="2"/>
        <v>4</v>
      </c>
      <c r="AO23" s="28">
        <f t="shared" si="3"/>
        <v>4</v>
      </c>
      <c r="AP23" s="10"/>
      <c r="AR23" s="300"/>
      <c r="AS23" s="652"/>
      <c r="AT23" s="652"/>
      <c r="AU23" s="653"/>
      <c r="AV23" s="653"/>
      <c r="AW23" s="203"/>
      <c r="AX23" s="157"/>
      <c r="AY23" s="157"/>
      <c r="AZ23" s="298"/>
      <c r="BA23" s="157"/>
      <c r="BB23" s="156"/>
      <c r="BC23" s="157"/>
      <c r="BD23" s="157"/>
      <c r="BE23" s="157"/>
      <c r="BF23" s="204"/>
      <c r="BG23" s="157"/>
      <c r="BH23" s="157"/>
      <c r="BI23" s="298"/>
      <c r="BJ23" s="157"/>
      <c r="BK23" s="157"/>
      <c r="BL23" s="157"/>
      <c r="BM23" s="204"/>
      <c r="BN23" s="156"/>
      <c r="BO23" s="157"/>
      <c r="BP23" s="157"/>
      <c r="BQ23" s="157"/>
      <c r="BR23" s="203"/>
      <c r="BS23" s="157"/>
      <c r="BT23" s="157"/>
      <c r="BU23" s="158"/>
      <c r="BV23" s="157"/>
      <c r="BW23" s="299"/>
      <c r="BX23" s="157"/>
      <c r="BY23" s="157"/>
      <c r="BZ23" s="157"/>
      <c r="CA23" s="157"/>
      <c r="CB23" s="159"/>
      <c r="CC23" s="161"/>
      <c r="CD23" s="160"/>
      <c r="CE23" s="160"/>
    </row>
    <row r="24" spans="1:83" ht="22" customHeight="1">
      <c r="A24" s="19"/>
      <c r="B24" s="416">
        <v>19</v>
      </c>
      <c r="C24" s="678" t="s">
        <v>197</v>
      </c>
      <c r="D24" s="774"/>
      <c r="E24" s="775" t="s">
        <v>94</v>
      </c>
      <c r="F24" s="681"/>
      <c r="G24" s="439"/>
      <c r="H24" s="115"/>
      <c r="I24" s="115"/>
      <c r="J24" s="115"/>
      <c r="K24" s="290" t="s">
        <v>21</v>
      </c>
      <c r="L24" s="423"/>
      <c r="M24" s="115"/>
      <c r="N24" s="115"/>
      <c r="O24" s="49"/>
      <c r="P24" s="115"/>
      <c r="Q24" s="115"/>
      <c r="R24" s="290" t="s">
        <v>21</v>
      </c>
      <c r="S24" s="216"/>
      <c r="T24" s="115"/>
      <c r="U24" s="115"/>
      <c r="V24" s="115"/>
      <c r="W24" s="115"/>
      <c r="X24" s="115"/>
      <c r="Y24" s="290" t="s">
        <v>21</v>
      </c>
      <c r="Z24" s="216"/>
      <c r="AA24" s="115"/>
      <c r="AB24" s="115"/>
      <c r="AC24" s="115"/>
      <c r="AD24" s="115"/>
      <c r="AE24" s="49"/>
      <c r="AF24" s="290" t="s">
        <v>21</v>
      </c>
      <c r="AG24" s="216"/>
      <c r="AH24" s="115"/>
      <c r="AI24" s="115"/>
      <c r="AJ24" s="115"/>
      <c r="AK24" s="415"/>
      <c r="AL24" s="307">
        <f t="shared" si="0"/>
        <v>0</v>
      </c>
      <c r="AM24" s="293">
        <f t="shared" si="1"/>
        <v>0</v>
      </c>
      <c r="AN24" s="294">
        <f t="shared" si="2"/>
        <v>4</v>
      </c>
      <c r="AO24" s="295">
        <f t="shared" si="3"/>
        <v>4</v>
      </c>
      <c r="AP24" s="10"/>
      <c r="AR24" s="652"/>
      <c r="AS24" s="652"/>
      <c r="AT24" s="653"/>
      <c r="AU24" s="653"/>
      <c r="AV24" s="203"/>
      <c r="AW24" s="157"/>
      <c r="AX24" s="157"/>
      <c r="AY24" s="298"/>
      <c r="AZ24" s="157"/>
      <c r="BA24" s="156"/>
      <c r="BB24" s="157"/>
      <c r="BC24" s="203"/>
      <c r="BD24" s="157"/>
      <c r="BE24" s="204"/>
      <c r="BF24" s="298"/>
      <c r="BG24" s="157"/>
      <c r="BH24" s="158"/>
      <c r="BI24" s="157"/>
      <c r="BJ24" s="298"/>
      <c r="BK24" s="157"/>
      <c r="BL24" s="204"/>
      <c r="BM24" s="156"/>
      <c r="BN24" s="157"/>
      <c r="BO24" s="298"/>
      <c r="BP24" s="157"/>
      <c r="BQ24" s="156"/>
      <c r="BR24" s="157"/>
      <c r="BS24" s="157"/>
      <c r="BT24" s="156"/>
      <c r="BU24" s="157"/>
      <c r="BV24" s="299"/>
      <c r="BW24" s="157"/>
      <c r="BX24" s="203"/>
      <c r="BY24" s="157"/>
      <c r="BZ24" s="157"/>
      <c r="CA24" s="159"/>
      <c r="CB24" s="161"/>
      <c r="CC24" s="160"/>
      <c r="CD24" s="160"/>
    </row>
    <row r="25" spans="1:83" ht="22.5" customHeight="1">
      <c r="A25" s="659"/>
      <c r="B25" s="660" t="s">
        <v>3</v>
      </c>
      <c r="C25" s="661"/>
      <c r="D25" s="661"/>
      <c r="E25" s="662"/>
      <c r="F25" s="297" t="s">
        <v>2</v>
      </c>
      <c r="G25" s="386">
        <f>COUNTIF(G6:G22,"D")</f>
        <v>0</v>
      </c>
      <c r="H25" s="386">
        <f t="shared" ref="H25:AK25" si="4">COUNTIF(H6:H22,"D")</f>
        <v>4</v>
      </c>
      <c r="I25" s="108">
        <f t="shared" si="4"/>
        <v>0</v>
      </c>
      <c r="J25" s="108">
        <f t="shared" si="4"/>
        <v>0</v>
      </c>
      <c r="K25" s="108">
        <f t="shared" si="4"/>
        <v>0</v>
      </c>
      <c r="L25" s="108">
        <f>COUNTIF(L6:L22,"D")</f>
        <v>0</v>
      </c>
      <c r="M25" s="108">
        <f t="shared" si="4"/>
        <v>0</v>
      </c>
      <c r="N25" s="108">
        <f t="shared" si="4"/>
        <v>0</v>
      </c>
      <c r="O25" s="108">
        <f t="shared" si="4"/>
        <v>0</v>
      </c>
      <c r="P25" s="108">
        <f t="shared" si="4"/>
        <v>0</v>
      </c>
      <c r="Q25" s="108">
        <f t="shared" si="4"/>
        <v>0</v>
      </c>
      <c r="R25" s="108">
        <f t="shared" si="4"/>
        <v>0</v>
      </c>
      <c r="S25" s="108">
        <f t="shared" si="4"/>
        <v>0</v>
      </c>
      <c r="T25" s="108">
        <f t="shared" si="4"/>
        <v>0</v>
      </c>
      <c r="U25" s="108">
        <f t="shared" si="4"/>
        <v>0</v>
      </c>
      <c r="V25" s="108">
        <f t="shared" si="4"/>
        <v>0</v>
      </c>
      <c r="W25" s="108">
        <f t="shared" si="4"/>
        <v>0</v>
      </c>
      <c r="X25" s="108">
        <f t="shared" si="4"/>
        <v>0</v>
      </c>
      <c r="Y25" s="108">
        <f t="shared" si="4"/>
        <v>0</v>
      </c>
      <c r="Z25" s="108">
        <f t="shared" si="4"/>
        <v>0</v>
      </c>
      <c r="AA25" s="108">
        <f t="shared" si="4"/>
        <v>0</v>
      </c>
      <c r="AB25" s="108">
        <f t="shared" si="4"/>
        <v>0</v>
      </c>
      <c r="AC25" s="108">
        <f t="shared" si="4"/>
        <v>0</v>
      </c>
      <c r="AD25" s="108">
        <f t="shared" si="4"/>
        <v>0</v>
      </c>
      <c r="AE25" s="108">
        <f t="shared" si="4"/>
        <v>0</v>
      </c>
      <c r="AF25" s="108">
        <f t="shared" si="4"/>
        <v>0</v>
      </c>
      <c r="AG25" s="108">
        <f t="shared" si="4"/>
        <v>0</v>
      </c>
      <c r="AH25" s="108">
        <f t="shared" si="4"/>
        <v>0</v>
      </c>
      <c r="AI25" s="108">
        <f t="shared" si="4"/>
        <v>0</v>
      </c>
      <c r="AJ25" s="108">
        <f t="shared" si="4"/>
        <v>0</v>
      </c>
      <c r="AK25" s="211">
        <f t="shared" si="4"/>
        <v>0</v>
      </c>
      <c r="AL25" s="175">
        <f t="shared" si="0"/>
        <v>0</v>
      </c>
      <c r="AM25" s="33">
        <f t="shared" si="1"/>
        <v>0</v>
      </c>
      <c r="AN25" s="34">
        <f t="shared" si="2"/>
        <v>0</v>
      </c>
      <c r="AO25" s="410">
        <f t="shared" si="3"/>
        <v>0</v>
      </c>
      <c r="AP25" s="10"/>
    </row>
    <row r="26" spans="1:83" ht="22.5" customHeight="1">
      <c r="A26" s="659"/>
      <c r="B26" s="663" t="s">
        <v>4</v>
      </c>
      <c r="C26" s="664"/>
      <c r="D26" s="664"/>
      <c r="E26" s="665"/>
      <c r="F26" s="2" t="s">
        <v>1</v>
      </c>
      <c r="G26" s="14">
        <f t="shared" ref="G26:AK26" si="5">COUNTIF(G6:G24,"●")</f>
        <v>0</v>
      </c>
      <c r="H26" s="14">
        <f t="shared" si="5"/>
        <v>0</v>
      </c>
      <c r="I26" s="14">
        <f t="shared" si="5"/>
        <v>0</v>
      </c>
      <c r="J26" s="14">
        <f t="shared" si="5"/>
        <v>0</v>
      </c>
      <c r="K26" s="14">
        <f t="shared" si="5"/>
        <v>19</v>
      </c>
      <c r="L26" s="14">
        <f t="shared" si="5"/>
        <v>0</v>
      </c>
      <c r="M26" s="14">
        <f t="shared" si="5"/>
        <v>0</v>
      </c>
      <c r="N26" s="14">
        <f t="shared" si="5"/>
        <v>0</v>
      </c>
      <c r="O26" s="14">
        <f t="shared" si="5"/>
        <v>0</v>
      </c>
      <c r="P26" s="14">
        <f t="shared" si="5"/>
        <v>0</v>
      </c>
      <c r="Q26" s="14">
        <f t="shared" si="5"/>
        <v>0</v>
      </c>
      <c r="R26" s="14">
        <f t="shared" si="5"/>
        <v>19</v>
      </c>
      <c r="S26" s="14">
        <f t="shared" si="5"/>
        <v>0</v>
      </c>
      <c r="T26" s="14">
        <f t="shared" si="5"/>
        <v>0</v>
      </c>
      <c r="U26" s="14">
        <f t="shared" si="5"/>
        <v>0</v>
      </c>
      <c r="V26" s="14">
        <f t="shared" si="5"/>
        <v>0</v>
      </c>
      <c r="W26" s="14">
        <f t="shared" si="5"/>
        <v>0</v>
      </c>
      <c r="X26" s="14">
        <f t="shared" si="5"/>
        <v>0</v>
      </c>
      <c r="Y26" s="14">
        <f t="shared" si="5"/>
        <v>19</v>
      </c>
      <c r="Z26" s="14">
        <f t="shared" si="5"/>
        <v>0</v>
      </c>
      <c r="AA26" s="14">
        <f t="shared" si="5"/>
        <v>0</v>
      </c>
      <c r="AB26" s="14">
        <f t="shared" si="5"/>
        <v>0</v>
      </c>
      <c r="AC26" s="14">
        <f t="shared" si="5"/>
        <v>0</v>
      </c>
      <c r="AD26" s="14">
        <f t="shared" si="5"/>
        <v>0</v>
      </c>
      <c r="AE26" s="14">
        <f t="shared" si="5"/>
        <v>0</v>
      </c>
      <c r="AF26" s="14">
        <f t="shared" si="5"/>
        <v>19</v>
      </c>
      <c r="AG26" s="14">
        <f t="shared" si="5"/>
        <v>0</v>
      </c>
      <c r="AH26" s="14">
        <f t="shared" si="5"/>
        <v>0</v>
      </c>
      <c r="AI26" s="14">
        <f t="shared" si="5"/>
        <v>0</v>
      </c>
      <c r="AJ26" s="14">
        <f t="shared" si="5"/>
        <v>0</v>
      </c>
      <c r="AK26" s="14">
        <f t="shared" si="5"/>
        <v>0</v>
      </c>
      <c r="AL26" s="666" t="s">
        <v>174</v>
      </c>
      <c r="AM26" s="667"/>
      <c r="AN26" s="667"/>
      <c r="AO26" s="668"/>
      <c r="AP26" s="10"/>
    </row>
    <row r="27" spans="1:83" ht="22.5" customHeight="1" thickBot="1">
      <c r="A27" s="743"/>
      <c r="B27" s="670" t="s">
        <v>5</v>
      </c>
      <c r="C27" s="671"/>
      <c r="D27" s="671"/>
      <c r="E27" s="672"/>
      <c r="F27" s="3" t="s">
        <v>0</v>
      </c>
      <c r="G27" s="14">
        <f t="shared" ref="G27:AK27" si="6">COUNTIF(G6:G24,"▲")</f>
        <v>0</v>
      </c>
      <c r="H27" s="14">
        <f t="shared" si="6"/>
        <v>0</v>
      </c>
      <c r="I27" s="14">
        <f t="shared" si="6"/>
        <v>0</v>
      </c>
      <c r="J27" s="14">
        <f t="shared" si="6"/>
        <v>0</v>
      </c>
      <c r="K27" s="14">
        <f t="shared" si="6"/>
        <v>0</v>
      </c>
      <c r="L27" s="14">
        <f t="shared" si="6"/>
        <v>0</v>
      </c>
      <c r="M27" s="14">
        <f t="shared" si="6"/>
        <v>0</v>
      </c>
      <c r="N27" s="14">
        <f t="shared" si="6"/>
        <v>0</v>
      </c>
      <c r="O27" s="14">
        <f t="shared" si="6"/>
        <v>0</v>
      </c>
      <c r="P27" s="14">
        <f t="shared" si="6"/>
        <v>0</v>
      </c>
      <c r="Q27" s="14">
        <f t="shared" si="6"/>
        <v>0</v>
      </c>
      <c r="R27" s="14">
        <f t="shared" si="6"/>
        <v>0</v>
      </c>
      <c r="S27" s="14">
        <f t="shared" si="6"/>
        <v>0</v>
      </c>
      <c r="T27" s="14">
        <f t="shared" si="6"/>
        <v>0</v>
      </c>
      <c r="U27" s="14">
        <f t="shared" si="6"/>
        <v>0</v>
      </c>
      <c r="V27" s="14">
        <f t="shared" si="6"/>
        <v>0</v>
      </c>
      <c r="W27" s="14">
        <f t="shared" si="6"/>
        <v>0</v>
      </c>
      <c r="X27" s="14">
        <f t="shared" si="6"/>
        <v>0</v>
      </c>
      <c r="Y27" s="14">
        <f t="shared" si="6"/>
        <v>0</v>
      </c>
      <c r="Z27" s="14">
        <f t="shared" si="6"/>
        <v>0</v>
      </c>
      <c r="AA27" s="14">
        <f t="shared" si="6"/>
        <v>0</v>
      </c>
      <c r="AB27" s="14">
        <f t="shared" si="6"/>
        <v>0</v>
      </c>
      <c r="AC27" s="14">
        <f t="shared" si="6"/>
        <v>0</v>
      </c>
      <c r="AD27" s="14">
        <f t="shared" si="6"/>
        <v>0</v>
      </c>
      <c r="AE27" s="14">
        <f t="shared" si="6"/>
        <v>0</v>
      </c>
      <c r="AF27" s="14">
        <f t="shared" si="6"/>
        <v>0</v>
      </c>
      <c r="AG27" s="14">
        <f t="shared" si="6"/>
        <v>0</v>
      </c>
      <c r="AH27" s="14">
        <f t="shared" si="6"/>
        <v>0</v>
      </c>
      <c r="AI27" s="14">
        <f t="shared" si="6"/>
        <v>0</v>
      </c>
      <c r="AJ27" s="14">
        <f t="shared" si="6"/>
        <v>0</v>
      </c>
      <c r="AK27" s="14">
        <f t="shared" si="6"/>
        <v>0</v>
      </c>
      <c r="AL27" s="52" t="s">
        <v>19</v>
      </c>
      <c r="AM27" s="649" t="s">
        <v>17</v>
      </c>
      <c r="AN27" s="650"/>
      <c r="AO27" s="651"/>
      <c r="AP27" s="10"/>
    </row>
    <row r="28" spans="1:83" ht="22.5" customHeight="1" thickTop="1" thickBot="1">
      <c r="A28" s="743"/>
      <c r="B28" s="654"/>
      <c r="C28" s="654"/>
      <c r="D28" s="654"/>
      <c r="E28" s="654"/>
      <c r="F28" s="654"/>
      <c r="G28" s="286"/>
      <c r="H28" s="651" t="s">
        <v>93</v>
      </c>
      <c r="I28" s="655"/>
      <c r="J28" s="655"/>
      <c r="K28" s="3" t="s">
        <v>42</v>
      </c>
      <c r="L28" s="649" t="s">
        <v>5</v>
      </c>
      <c r="M28" s="651"/>
      <c r="N28" s="5" t="s">
        <v>68</v>
      </c>
      <c r="O28" s="656" t="s">
        <v>177</v>
      </c>
      <c r="P28" s="657"/>
      <c r="Q28" s="658"/>
      <c r="R28" s="5" t="s">
        <v>91</v>
      </c>
      <c r="S28" s="656" t="s">
        <v>179</v>
      </c>
      <c r="T28" s="657"/>
      <c r="U28" s="658"/>
      <c r="V28" s="6" t="s">
        <v>56</v>
      </c>
      <c r="W28" s="644" t="s">
        <v>178</v>
      </c>
      <c r="X28" s="645"/>
      <c r="Y28" s="645"/>
      <c r="Z28" s="6" t="s">
        <v>83</v>
      </c>
      <c r="AA28" s="644" t="s">
        <v>180</v>
      </c>
      <c r="AB28" s="645"/>
      <c r="AC28" s="645"/>
      <c r="AD28" s="152" t="s">
        <v>1</v>
      </c>
      <c r="AE28" s="646" t="s">
        <v>175</v>
      </c>
      <c r="AF28" s="647"/>
      <c r="AG28" s="648"/>
      <c r="AH28" s="2" t="s">
        <v>21</v>
      </c>
      <c r="AI28" s="649" t="s">
        <v>4</v>
      </c>
      <c r="AJ28" s="650"/>
      <c r="AK28" s="651"/>
      <c r="AL28" s="13" t="s">
        <v>20</v>
      </c>
      <c r="AM28" s="649" t="s">
        <v>18</v>
      </c>
      <c r="AN28" s="650"/>
      <c r="AO28" s="651"/>
      <c r="AP28" s="10"/>
    </row>
    <row r="29" spans="1:83" customFormat="1" ht="19" thickTop="1">
      <c r="B29" s="8"/>
      <c r="C29" s="652"/>
      <c r="D29" s="652"/>
      <c r="E29" s="653"/>
      <c r="F29" s="653"/>
      <c r="G29" s="156"/>
      <c r="H29" s="158"/>
      <c r="I29" s="157"/>
      <c r="J29" s="158"/>
      <c r="K29" s="158"/>
      <c r="L29" s="158"/>
      <c r="M29" s="158"/>
      <c r="N29" s="203"/>
      <c r="O29" s="158"/>
      <c r="P29" s="158"/>
      <c r="Q29" s="203"/>
      <c r="R29" s="157"/>
      <c r="S29" s="157"/>
      <c r="T29" s="158"/>
      <c r="U29" s="158"/>
      <c r="V29" s="158"/>
      <c r="W29" s="158"/>
      <c r="X29" s="157"/>
      <c r="Y29" s="157"/>
      <c r="Z29" s="157"/>
      <c r="AA29" s="158"/>
      <c r="AB29" s="203"/>
      <c r="AC29" s="158"/>
      <c r="AD29" s="158"/>
      <c r="AE29" s="203"/>
      <c r="AF29" s="157"/>
      <c r="AG29" s="158"/>
      <c r="AH29" s="158"/>
      <c r="AI29" s="157"/>
      <c r="AJ29" s="158"/>
      <c r="AK29" s="158"/>
      <c r="AN29" s="9"/>
      <c r="AO29" s="11"/>
    </row>
    <row r="30" spans="1:83" s="11" customFormat="1" ht="18">
      <c r="A30" s="1"/>
      <c r="B30" s="652"/>
      <c r="C30" s="652"/>
      <c r="D30" s="652"/>
      <c r="E30" s="652"/>
      <c r="F30" s="653"/>
      <c r="G30" s="653"/>
      <c r="H30" s="156"/>
      <c r="I30" s="158"/>
      <c r="J30" s="157"/>
      <c r="K30" s="158"/>
      <c r="L30" s="158"/>
      <c r="M30" s="157"/>
      <c r="N30" s="157"/>
      <c r="O30" s="203"/>
      <c r="P30" s="158"/>
      <c r="Q30" s="157"/>
      <c r="R30" s="157"/>
      <c r="S30" s="158"/>
      <c r="T30" s="158"/>
      <c r="U30" s="218"/>
      <c r="V30" s="158"/>
      <c r="W30" s="158"/>
      <c r="X30" s="158"/>
      <c r="Y30" s="158"/>
      <c r="Z30" s="156"/>
      <c r="AA30" s="158"/>
      <c r="AB30" s="158"/>
      <c r="AC30" s="158"/>
      <c r="AD30" s="158"/>
      <c r="AE30" s="157"/>
      <c r="AF30" s="158"/>
      <c r="AG30" s="156"/>
      <c r="AH30" s="158"/>
      <c r="AI30" s="158"/>
      <c r="AJ30" s="158"/>
      <c r="AK30" s="158"/>
      <c r="AL30" s="156"/>
      <c r="AM30" s="160"/>
      <c r="AN30" s="160"/>
      <c r="AP30" s="12"/>
      <c r="AQ30" s="1"/>
      <c r="AR30" s="1"/>
      <c r="AS30" s="1"/>
      <c r="AT30" s="1"/>
    </row>
    <row r="31" spans="1:83" s="11" customFormat="1">
      <c r="A31" s="1"/>
      <c r="B31" s="1"/>
      <c r="C31" s="1"/>
      <c r="D31" s="1"/>
      <c r="E31" s="1"/>
      <c r="F31" s="1"/>
      <c r="G31"/>
      <c r="H31" s="1"/>
      <c r="I31" s="1"/>
      <c r="J31" s="8"/>
      <c r="K31" s="8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7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9"/>
      <c r="AP31" s="12"/>
      <c r="AQ31" s="1"/>
      <c r="AR31" s="1"/>
      <c r="AS31" s="1"/>
      <c r="AT31" s="1"/>
    </row>
    <row r="32" spans="1:83" s="11" customFormat="1" ht="18">
      <c r="A32" s="1"/>
      <c r="B32" s="1"/>
      <c r="C32" s="1"/>
      <c r="D32" s="1"/>
      <c r="E32" s="1"/>
      <c r="F32" s="1"/>
      <c r="G32" s="17"/>
      <c r="H32" s="17"/>
      <c r="I32" s="17"/>
      <c r="J32" s="17"/>
      <c r="K32" s="15"/>
      <c r="L32" s="17"/>
      <c r="M32" s="17"/>
      <c r="N32" s="17"/>
      <c r="O32" s="17"/>
      <c r="P32" s="17"/>
      <c r="Q32" s="17"/>
      <c r="R32" s="15"/>
      <c r="S32" s="17"/>
      <c r="T32" s="16"/>
      <c r="U32" s="16"/>
      <c r="V32" s="16"/>
      <c r="W32" s="16"/>
      <c r="X32" s="16"/>
      <c r="Y32" s="15"/>
      <c r="Z32" s="16"/>
      <c r="AA32" s="16"/>
      <c r="AB32" s="16"/>
      <c r="AC32" s="16"/>
      <c r="AD32" s="16"/>
      <c r="AE32" s="16"/>
      <c r="AF32" s="15" t="s">
        <v>41</v>
      </c>
      <c r="AG32" s="16"/>
      <c r="AH32" s="16"/>
      <c r="AI32" s="16"/>
      <c r="AJ32" s="16"/>
      <c r="AK32" s="16"/>
      <c r="AL32" s="1"/>
      <c r="AM32" s="1"/>
      <c r="AN32" s="9"/>
      <c r="AP32" s="12"/>
      <c r="AQ32" s="1"/>
      <c r="AR32" s="1"/>
      <c r="AS32" s="1"/>
      <c r="AT32" s="1"/>
    </row>
    <row r="33" spans="1:46" s="11" customFormat="1">
      <c r="A33" s="1"/>
      <c r="B33" s="1"/>
      <c r="C33" s="1"/>
      <c r="D33" s="1"/>
      <c r="E33" s="1"/>
      <c r="F33" s="1"/>
      <c r="G33"/>
      <c r="H33" s="1"/>
      <c r="I33" s="1"/>
      <c r="J33" s="8"/>
      <c r="K33" s="8"/>
      <c r="L33" s="1"/>
      <c r="M33" t="s">
        <v>27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7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9"/>
      <c r="AP33" s="12"/>
      <c r="AQ33" s="1"/>
      <c r="AR33" s="1"/>
      <c r="AS33" s="1"/>
      <c r="AT33" s="1"/>
    </row>
    <row r="34" spans="1:46" s="11" customFormat="1">
      <c r="A34" s="1"/>
      <c r="B34" s="1"/>
      <c r="C34" s="1"/>
      <c r="D34" s="1"/>
      <c r="E34" s="1"/>
      <c r="F34" s="1"/>
      <c r="G34"/>
      <c r="H34" s="1"/>
      <c r="I34" s="1"/>
      <c r="J34" s="8"/>
      <c r="K34" s="8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7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9"/>
      <c r="AP34" s="12"/>
      <c r="AQ34" s="1"/>
      <c r="AR34" s="1"/>
      <c r="AS34" s="1"/>
      <c r="AT34" s="1"/>
    </row>
    <row r="35" spans="1:46" s="11" customFormat="1">
      <c r="A35" s="1"/>
      <c r="B35" s="1"/>
      <c r="C35" s="1"/>
      <c r="D35" s="1"/>
      <c r="E35" s="1"/>
      <c r="F35" s="1"/>
      <c r="G35"/>
      <c r="H35" s="1"/>
      <c r="I35" s="1"/>
      <c r="J35" s="8"/>
      <c r="K35" s="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7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9"/>
      <c r="AP35" s="12"/>
      <c r="AQ35" s="1"/>
      <c r="AR35" s="1"/>
      <c r="AS35" s="1"/>
      <c r="AT35" s="1"/>
    </row>
    <row r="36" spans="1:46" s="11" customFormat="1">
      <c r="A36" s="1"/>
      <c r="B36" s="1"/>
      <c r="C36" s="1"/>
      <c r="D36" s="1"/>
      <c r="E36" s="1"/>
      <c r="F36" s="1"/>
      <c r="G36"/>
      <c r="H36" s="1"/>
      <c r="I36" s="1"/>
      <c r="J36" s="8"/>
      <c r="K36" s="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7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9"/>
      <c r="AP36" s="12"/>
      <c r="AQ36" s="1"/>
      <c r="AR36" s="1"/>
      <c r="AS36" s="1"/>
      <c r="AT36" s="1"/>
    </row>
    <row r="37" spans="1:46" s="11" customFormat="1">
      <c r="A37" s="1"/>
      <c r="B37" s="1"/>
      <c r="C37" s="1"/>
      <c r="D37" s="1"/>
      <c r="E37" s="1"/>
      <c r="F37" s="1"/>
      <c r="G37"/>
      <c r="H37" s="1"/>
      <c r="I37" s="1"/>
      <c r="J37" s="8"/>
      <c r="K37" s="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7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9"/>
      <c r="AP37" s="12"/>
      <c r="AQ37" s="1"/>
      <c r="AR37" s="1"/>
      <c r="AS37" s="1"/>
      <c r="AT37" s="1"/>
    </row>
    <row r="38" spans="1:46" s="11" customFormat="1">
      <c r="A38" s="1"/>
      <c r="B38" s="1"/>
      <c r="C38" s="1"/>
      <c r="D38" s="1"/>
      <c r="E38" s="1"/>
      <c r="F38" s="1"/>
      <c r="G38"/>
      <c r="H38" s="1"/>
      <c r="I38" s="1"/>
      <c r="J38" s="8"/>
      <c r="K38" s="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7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9"/>
      <c r="AP38" s="12"/>
      <c r="AQ38" s="1"/>
      <c r="AR38" s="1"/>
      <c r="AS38" s="1"/>
      <c r="AT38" s="1"/>
    </row>
    <row r="39" spans="1:46" s="11" customFormat="1">
      <c r="A39" s="1"/>
      <c r="B39" s="1"/>
      <c r="C39" s="1"/>
      <c r="D39" s="1"/>
      <c r="E39" s="1"/>
      <c r="F39" s="1"/>
      <c r="G39"/>
      <c r="H39" s="1"/>
      <c r="I39" s="1"/>
      <c r="J39" s="8"/>
      <c r="K39" s="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7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9"/>
      <c r="AP39" s="12"/>
      <c r="AQ39" s="1"/>
      <c r="AR39" s="1"/>
      <c r="AS39" s="1"/>
      <c r="AT39" s="1"/>
    </row>
    <row r="40" spans="1:46" s="11" customFormat="1">
      <c r="A40" s="1"/>
      <c r="B40" s="1"/>
      <c r="C40" s="1"/>
      <c r="D40" s="1"/>
      <c r="E40" s="1"/>
      <c r="F40" s="1"/>
      <c r="G40"/>
      <c r="H40" s="1"/>
      <c r="I40" s="1"/>
      <c r="J40" s="8"/>
      <c r="K40" s="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7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9"/>
      <c r="AP40" s="12"/>
      <c r="AQ40" s="1"/>
      <c r="AR40" s="1"/>
      <c r="AS40" s="1"/>
      <c r="AT40" s="1"/>
    </row>
    <row r="41" spans="1:46" s="11" customFormat="1">
      <c r="A41" s="1"/>
      <c r="B41" s="1"/>
      <c r="C41" s="1"/>
      <c r="D41" s="1"/>
      <c r="E41" s="1"/>
      <c r="F41" s="1"/>
      <c r="G41"/>
      <c r="H41" s="1"/>
      <c r="I41" s="1"/>
      <c r="J41" s="8"/>
      <c r="K41" s="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7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9"/>
      <c r="AP41" s="12"/>
      <c r="AQ41" s="1"/>
      <c r="AR41" s="1"/>
      <c r="AS41" s="1"/>
      <c r="AT41" s="1"/>
    </row>
    <row r="42" spans="1:46" s="11" customFormat="1">
      <c r="A42" s="1"/>
      <c r="B42" s="1"/>
      <c r="C42" s="1"/>
      <c r="D42" s="1"/>
      <c r="E42" s="1"/>
      <c r="F42" s="1"/>
      <c r="G42"/>
      <c r="H42" s="1"/>
      <c r="I42" s="1"/>
      <c r="J42" s="8"/>
      <c r="K42" s="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7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9"/>
      <c r="AP42" s="12"/>
      <c r="AQ42" s="1"/>
      <c r="AR42" s="1"/>
      <c r="AS42" s="1"/>
      <c r="AT42" s="1"/>
    </row>
    <row r="43" spans="1:46" s="11" customFormat="1">
      <c r="A43" s="1"/>
      <c r="B43" s="1"/>
      <c r="C43" s="1"/>
      <c r="D43" s="1"/>
      <c r="E43" s="1"/>
      <c r="F43" s="1"/>
      <c r="G43"/>
      <c r="H43" s="1"/>
      <c r="I43" s="1"/>
      <c r="J43" s="8"/>
      <c r="K43" s="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7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9"/>
      <c r="AP43" s="12"/>
      <c r="AQ43" s="1"/>
      <c r="AR43" s="1"/>
      <c r="AS43" s="1"/>
      <c r="AT43" s="1"/>
    </row>
    <row r="44" spans="1:46" s="11" customFormat="1">
      <c r="A44" s="1"/>
      <c r="B44" s="1"/>
      <c r="C44" s="1"/>
      <c r="D44" s="1"/>
      <c r="E44" s="1"/>
      <c r="F44" s="1"/>
      <c r="G44"/>
      <c r="H44" s="1"/>
      <c r="I44" s="1"/>
      <c r="J44" s="8"/>
      <c r="K44" s="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7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9"/>
      <c r="AP44" s="12"/>
      <c r="AQ44" s="1"/>
      <c r="AR44" s="1"/>
      <c r="AS44" s="1"/>
      <c r="AT44" s="1"/>
    </row>
    <row r="45" spans="1:46" s="11" customFormat="1">
      <c r="A45" s="1"/>
      <c r="B45" s="1"/>
      <c r="C45" s="1"/>
      <c r="D45" s="1"/>
      <c r="E45" s="1"/>
      <c r="F45" s="1"/>
      <c r="G45"/>
      <c r="H45" s="1"/>
      <c r="I45" s="1"/>
      <c r="J45" s="8"/>
      <c r="K45" s="8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7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9"/>
      <c r="AP45" s="12"/>
      <c r="AQ45" s="1"/>
      <c r="AR45" s="1"/>
      <c r="AS45" s="1"/>
      <c r="AT45" s="1"/>
    </row>
    <row r="46" spans="1:46">
      <c r="Y46" s="1"/>
      <c r="AD46" s="1"/>
    </row>
    <row r="47" spans="1:46" ht="40">
      <c r="R47" s="125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41" priority="11" operator="equal">
      <formula>8</formula>
    </cfRule>
    <cfRule type="cellIs" dxfId="140" priority="12" operator="equal">
      <formula>0</formula>
    </cfRule>
  </conditionalFormatting>
  <conditionalFormatting sqref="BZ19:BZ20">
    <cfRule type="cellIs" dxfId="139" priority="5" operator="equal">
      <formula>8</formula>
    </cfRule>
    <cfRule type="cellIs" dxfId="138" priority="6" operator="equal">
      <formula>0</formula>
    </cfRule>
  </conditionalFormatting>
  <conditionalFormatting sqref="CA18">
    <cfRule type="cellIs" dxfId="137" priority="1" operator="equal">
      <formula>8</formula>
    </cfRule>
    <cfRule type="cellIs" dxfId="136" priority="2" operator="equal">
      <formula>0</formula>
    </cfRule>
  </conditionalFormatting>
  <conditionalFormatting sqref="CA24">
    <cfRule type="cellIs" dxfId="135" priority="3" operator="equal">
      <formula>8</formula>
    </cfRule>
    <cfRule type="cellIs" dxfId="134" priority="4" operator="equal">
      <formula>0</formula>
    </cfRule>
  </conditionalFormatting>
  <conditionalFormatting sqref="CB23">
    <cfRule type="cellIs" dxfId="133" priority="7" operator="equal">
      <formula>8</formula>
    </cfRule>
    <cfRule type="cellIs" dxfId="132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8" customWidth="1"/>
    <col min="12" max="24" width="3.6640625" style="1" customWidth="1"/>
    <col min="25" max="25" width="3.6640625" style="38" customWidth="1"/>
    <col min="26" max="28" width="3.6640625" style="1" customWidth="1"/>
    <col min="29" max="29" width="3.6640625" style="7" customWidth="1"/>
    <col min="30" max="30" width="3.6640625" style="41" customWidth="1"/>
    <col min="31" max="39" width="3.6640625" style="1" customWidth="1"/>
    <col min="40" max="40" width="8.6640625" style="9" customWidth="1"/>
    <col min="41" max="41" width="5.1640625" style="11" customWidth="1"/>
    <col min="42" max="42" width="9" style="12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18"/>
      <c r="B1" s="729" t="s">
        <v>240</v>
      </c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  <c r="AA1" s="729"/>
      <c r="AB1" s="729"/>
      <c r="AC1" s="729"/>
      <c r="AD1" s="729"/>
      <c r="AE1" s="729"/>
      <c r="AF1" s="729"/>
      <c r="AG1" s="729"/>
      <c r="AH1" s="729"/>
      <c r="AI1" s="729"/>
      <c r="AJ1" s="729"/>
      <c r="AK1" s="729"/>
      <c r="AL1" s="729"/>
      <c r="AM1" s="729"/>
      <c r="AN1" s="729"/>
      <c r="AO1" s="729"/>
    </row>
    <row r="2" spans="1:46" ht="22.5" customHeight="1">
      <c r="A2" s="1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29"/>
      <c r="AB2" s="729"/>
      <c r="AC2" s="729"/>
      <c r="AD2" s="729"/>
      <c r="AE2" s="729"/>
      <c r="AF2" s="729"/>
      <c r="AG2" s="729"/>
      <c r="AH2" s="729"/>
      <c r="AI2" s="729"/>
      <c r="AJ2" s="729"/>
      <c r="AK2" s="729"/>
      <c r="AL2" s="729"/>
      <c r="AM2" s="729"/>
      <c r="AN2" s="729"/>
      <c r="AO2" s="729"/>
    </row>
    <row r="3" spans="1:46" ht="22.5" customHeight="1">
      <c r="A3" s="18"/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R3" s="730"/>
      <c r="S3" s="730"/>
      <c r="T3" s="730"/>
      <c r="U3" s="730"/>
      <c r="V3" s="730"/>
      <c r="W3" s="730"/>
      <c r="X3" s="730"/>
      <c r="Y3" s="730"/>
      <c r="Z3" s="730"/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</row>
    <row r="4" spans="1:46" ht="25" customHeight="1">
      <c r="B4" s="731"/>
      <c r="C4" s="733" t="s">
        <v>6</v>
      </c>
      <c r="D4" s="734"/>
      <c r="E4" s="734"/>
      <c r="F4" s="735"/>
      <c r="G4" s="411">
        <v>1</v>
      </c>
      <c r="H4" s="412">
        <v>2</v>
      </c>
      <c r="I4" s="127">
        <v>3</v>
      </c>
      <c r="J4" s="127">
        <v>4</v>
      </c>
      <c r="K4" s="51">
        <v>5</v>
      </c>
      <c r="L4" s="51">
        <v>6</v>
      </c>
      <c r="M4" s="127">
        <v>7</v>
      </c>
      <c r="N4" s="127">
        <v>8</v>
      </c>
      <c r="O4" s="127">
        <v>9</v>
      </c>
      <c r="P4" s="37">
        <v>10</v>
      </c>
      <c r="Q4" s="127">
        <v>11</v>
      </c>
      <c r="R4" s="51">
        <v>12</v>
      </c>
      <c r="S4" s="37">
        <v>13</v>
      </c>
      <c r="T4" s="37">
        <v>14</v>
      </c>
      <c r="U4" s="37">
        <v>15</v>
      </c>
      <c r="V4" s="37">
        <v>16</v>
      </c>
      <c r="W4" s="37">
        <v>17</v>
      </c>
      <c r="X4" s="127">
        <v>18</v>
      </c>
      <c r="Y4" s="51">
        <v>19</v>
      </c>
      <c r="Z4" s="37">
        <v>20</v>
      </c>
      <c r="AA4" s="37">
        <v>21</v>
      </c>
      <c r="AB4" s="37">
        <v>22</v>
      </c>
      <c r="AC4" s="37">
        <v>23</v>
      </c>
      <c r="AD4" s="37">
        <v>24</v>
      </c>
      <c r="AE4" s="127">
        <v>25</v>
      </c>
      <c r="AF4" s="51">
        <v>26</v>
      </c>
      <c r="AG4" s="37">
        <v>27</v>
      </c>
      <c r="AH4" s="37">
        <v>28</v>
      </c>
      <c r="AI4" s="37">
        <v>29</v>
      </c>
      <c r="AJ4" s="37">
        <v>30</v>
      </c>
      <c r="AK4" s="413">
        <v>31</v>
      </c>
      <c r="AL4" s="736" t="s">
        <v>35</v>
      </c>
      <c r="AM4" s="737"/>
      <c r="AN4" s="737"/>
      <c r="AO4" s="738"/>
      <c r="AP4" s="10"/>
    </row>
    <row r="5" spans="1:46" ht="25" customHeight="1">
      <c r="B5" s="732"/>
      <c r="C5" s="739" t="s">
        <v>7</v>
      </c>
      <c r="D5" s="740"/>
      <c r="E5" s="741" t="s">
        <v>8</v>
      </c>
      <c r="F5" s="742"/>
      <c r="G5" s="251" t="s">
        <v>50</v>
      </c>
      <c r="H5" s="252" t="s">
        <v>239</v>
      </c>
      <c r="I5" s="186" t="s">
        <v>11</v>
      </c>
      <c r="J5" s="186" t="s">
        <v>12</v>
      </c>
      <c r="K5" s="188" t="s">
        <v>13</v>
      </c>
      <c r="L5" s="188" t="s">
        <v>14</v>
      </c>
      <c r="M5" s="186" t="s">
        <v>15</v>
      </c>
      <c r="N5" s="186" t="s">
        <v>9</v>
      </c>
      <c r="O5" s="186" t="s">
        <v>10</v>
      </c>
      <c r="P5" s="252" t="s">
        <v>11</v>
      </c>
      <c r="Q5" s="186" t="s">
        <v>12</v>
      </c>
      <c r="R5" s="188" t="s">
        <v>13</v>
      </c>
      <c r="S5" s="252" t="s">
        <v>14</v>
      </c>
      <c r="T5" s="252" t="s">
        <v>15</v>
      </c>
      <c r="U5" s="252" t="s">
        <v>9</v>
      </c>
      <c r="V5" s="252" t="s">
        <v>10</v>
      </c>
      <c r="W5" s="252" t="s">
        <v>11</v>
      </c>
      <c r="X5" s="186" t="s">
        <v>12</v>
      </c>
      <c r="Y5" s="188" t="s">
        <v>13</v>
      </c>
      <c r="Z5" s="252" t="s">
        <v>14</v>
      </c>
      <c r="AA5" s="252" t="s">
        <v>15</v>
      </c>
      <c r="AB5" s="252" t="s">
        <v>9</v>
      </c>
      <c r="AC5" s="252" t="s">
        <v>10</v>
      </c>
      <c r="AD5" s="252" t="s">
        <v>11</v>
      </c>
      <c r="AE5" s="186" t="s">
        <v>12</v>
      </c>
      <c r="AF5" s="188" t="s">
        <v>13</v>
      </c>
      <c r="AG5" s="252" t="s">
        <v>14</v>
      </c>
      <c r="AH5" s="252" t="s">
        <v>15</v>
      </c>
      <c r="AI5" s="252" t="s">
        <v>9</v>
      </c>
      <c r="AJ5" s="252" t="s">
        <v>10</v>
      </c>
      <c r="AK5" s="420" t="s">
        <v>11</v>
      </c>
      <c r="AL5" s="3" t="s">
        <v>0</v>
      </c>
      <c r="AM5" s="35" t="s">
        <v>2</v>
      </c>
      <c r="AN5" s="253" t="s">
        <v>1</v>
      </c>
      <c r="AO5" s="36" t="s">
        <v>16</v>
      </c>
      <c r="AP5" s="10"/>
    </row>
    <row r="6" spans="1:46" ht="22" customHeight="1">
      <c r="B6" s="353">
        <v>1</v>
      </c>
      <c r="C6" s="718" t="s">
        <v>191</v>
      </c>
      <c r="D6" s="719"/>
      <c r="E6" s="720" t="s">
        <v>34</v>
      </c>
      <c r="F6" s="721"/>
      <c r="G6" s="73" t="s">
        <v>242</v>
      </c>
      <c r="H6" s="39" t="s">
        <v>2</v>
      </c>
      <c r="I6" s="48" t="s">
        <v>21</v>
      </c>
      <c r="J6" s="48" t="s">
        <v>21</v>
      </c>
      <c r="K6" s="39" t="s">
        <v>1</v>
      </c>
      <c r="L6" s="39" t="s">
        <v>1</v>
      </c>
      <c r="M6" s="48" t="s">
        <v>21</v>
      </c>
      <c r="N6" s="48" t="s">
        <v>280</v>
      </c>
      <c r="O6" s="48" t="s">
        <v>21</v>
      </c>
      <c r="P6" s="39" t="s">
        <v>2</v>
      </c>
      <c r="Q6" s="48" t="s">
        <v>21</v>
      </c>
      <c r="R6" s="39" t="s">
        <v>1</v>
      </c>
      <c r="S6" s="39" t="s">
        <v>242</v>
      </c>
      <c r="T6" s="39" t="s">
        <v>2</v>
      </c>
      <c r="U6" s="39" t="s">
        <v>2</v>
      </c>
      <c r="V6" s="39" t="s">
        <v>243</v>
      </c>
      <c r="W6" s="39" t="s">
        <v>2</v>
      </c>
      <c r="X6" s="48" t="s">
        <v>251</v>
      </c>
      <c r="Y6" s="39" t="s">
        <v>1</v>
      </c>
      <c r="Z6" s="39" t="s">
        <v>2</v>
      </c>
      <c r="AA6" s="39" t="s">
        <v>242</v>
      </c>
      <c r="AB6" s="39" t="s">
        <v>2</v>
      </c>
      <c r="AC6" s="39" t="s">
        <v>2</v>
      </c>
      <c r="AD6" s="39" t="s">
        <v>2</v>
      </c>
      <c r="AE6" s="48" t="s">
        <v>21</v>
      </c>
      <c r="AF6" s="39" t="s">
        <v>1</v>
      </c>
      <c r="AG6" s="39" t="s">
        <v>2</v>
      </c>
      <c r="AH6" s="39" t="s">
        <v>2</v>
      </c>
      <c r="AI6" s="39" t="s">
        <v>2</v>
      </c>
      <c r="AJ6" s="39" t="s">
        <v>2</v>
      </c>
      <c r="AK6" s="88" t="s">
        <v>2</v>
      </c>
      <c r="AL6" s="55">
        <f t="shared" ref="AL6:AL26" si="0">COUNTIF(G6:AK6,"▲")</f>
        <v>0</v>
      </c>
      <c r="AM6" s="21">
        <f t="shared" ref="AM6:AM26" si="1">COUNTIF(G6:AK6,"D")</f>
        <v>18</v>
      </c>
      <c r="AN6" s="22">
        <f t="shared" ref="AN6:AN26" si="2">COUNTIF(G6:AK6,"●")</f>
        <v>13</v>
      </c>
      <c r="AO6" s="27">
        <f t="shared" ref="AO6:AO26" si="3">AN6+AL6</f>
        <v>13</v>
      </c>
      <c r="AP6" s="10"/>
    </row>
    <row r="7" spans="1:46" ht="21.75" customHeight="1">
      <c r="B7" s="54">
        <v>2</v>
      </c>
      <c r="C7" s="710" t="s">
        <v>22</v>
      </c>
      <c r="D7" s="722"/>
      <c r="E7" s="723" t="s">
        <v>23</v>
      </c>
      <c r="F7" s="724"/>
      <c r="G7" s="142" t="s">
        <v>242</v>
      </c>
      <c r="H7" s="93" t="s">
        <v>253</v>
      </c>
      <c r="I7" s="43" t="s">
        <v>2</v>
      </c>
      <c r="J7" s="43" t="s">
        <v>312</v>
      </c>
      <c r="K7" s="93" t="s">
        <v>21</v>
      </c>
      <c r="L7" s="93" t="s">
        <v>21</v>
      </c>
      <c r="M7" s="93" t="s">
        <v>2</v>
      </c>
      <c r="N7" s="50" t="s">
        <v>21</v>
      </c>
      <c r="O7" s="93" t="s">
        <v>2</v>
      </c>
      <c r="P7" s="43" t="s">
        <v>275</v>
      </c>
      <c r="Q7" s="50" t="s">
        <v>255</v>
      </c>
      <c r="R7" s="93" t="s">
        <v>21</v>
      </c>
      <c r="S7" s="50" t="s">
        <v>21</v>
      </c>
      <c r="T7" s="50" t="s">
        <v>313</v>
      </c>
      <c r="U7" s="43" t="s">
        <v>273</v>
      </c>
      <c r="V7" s="93" t="s">
        <v>273</v>
      </c>
      <c r="W7" s="43" t="s">
        <v>272</v>
      </c>
      <c r="X7" s="50" t="s">
        <v>21</v>
      </c>
      <c r="Y7" s="93" t="s">
        <v>21</v>
      </c>
      <c r="Z7" s="43" t="s">
        <v>273</v>
      </c>
      <c r="AA7" s="93" t="s">
        <v>272</v>
      </c>
      <c r="AB7" s="43" t="s">
        <v>273</v>
      </c>
      <c r="AC7" s="43" t="s">
        <v>273</v>
      </c>
      <c r="AD7" s="50" t="s">
        <v>21</v>
      </c>
      <c r="AE7" s="50" t="s">
        <v>309</v>
      </c>
      <c r="AF7" s="93" t="s">
        <v>21</v>
      </c>
      <c r="AG7" s="43" t="s">
        <v>297</v>
      </c>
      <c r="AH7" s="141" t="s">
        <v>21</v>
      </c>
      <c r="AI7" s="43" t="s">
        <v>273</v>
      </c>
      <c r="AJ7" s="43" t="s">
        <v>272</v>
      </c>
      <c r="AK7" s="132" t="s">
        <v>272</v>
      </c>
      <c r="AL7" s="221">
        <f t="shared" si="0"/>
        <v>0</v>
      </c>
      <c r="AM7" s="260">
        <f t="shared" si="1"/>
        <v>18</v>
      </c>
      <c r="AN7" s="32">
        <f t="shared" si="2"/>
        <v>13</v>
      </c>
      <c r="AO7" s="167">
        <f t="shared" si="3"/>
        <v>13</v>
      </c>
      <c r="AP7" s="10"/>
      <c r="AT7"/>
    </row>
    <row r="8" spans="1:46" ht="22" customHeight="1">
      <c r="B8" s="353">
        <v>3</v>
      </c>
      <c r="C8" s="725" t="s">
        <v>36</v>
      </c>
      <c r="D8" s="726"/>
      <c r="E8" s="727" t="s">
        <v>37</v>
      </c>
      <c r="F8" s="728"/>
      <c r="G8" s="76" t="s">
        <v>2</v>
      </c>
      <c r="H8" s="170" t="s">
        <v>356</v>
      </c>
      <c r="I8" s="71" t="s">
        <v>290</v>
      </c>
      <c r="J8" s="170" t="s">
        <v>286</v>
      </c>
      <c r="K8" s="71" t="s">
        <v>21</v>
      </c>
      <c r="L8" s="71" t="s">
        <v>21</v>
      </c>
      <c r="M8" s="170" t="s">
        <v>21</v>
      </c>
      <c r="N8" s="71" t="s">
        <v>281</v>
      </c>
      <c r="O8" s="170" t="s">
        <v>21</v>
      </c>
      <c r="P8" s="71" t="s">
        <v>288</v>
      </c>
      <c r="Q8" s="71" t="s">
        <v>254</v>
      </c>
      <c r="R8" s="71" t="s">
        <v>21</v>
      </c>
      <c r="S8" s="71" t="s">
        <v>282</v>
      </c>
      <c r="T8" s="71" t="s">
        <v>289</v>
      </c>
      <c r="U8" s="71" t="s">
        <v>285</v>
      </c>
      <c r="V8" s="71" t="s">
        <v>2</v>
      </c>
      <c r="W8" s="57" t="s">
        <v>21</v>
      </c>
      <c r="X8" s="71" t="s">
        <v>277</v>
      </c>
      <c r="Y8" s="71" t="s">
        <v>21</v>
      </c>
      <c r="Z8" s="71" t="s">
        <v>282</v>
      </c>
      <c r="AA8" s="71" t="s">
        <v>2</v>
      </c>
      <c r="AB8" s="71" t="s">
        <v>308</v>
      </c>
      <c r="AC8" s="170" t="s">
        <v>21</v>
      </c>
      <c r="AD8" s="71" t="s">
        <v>285</v>
      </c>
      <c r="AE8" s="71" t="s">
        <v>279</v>
      </c>
      <c r="AF8" s="71" t="s">
        <v>21</v>
      </c>
      <c r="AG8" s="71" t="s">
        <v>290</v>
      </c>
      <c r="AH8" s="71" t="s">
        <v>285</v>
      </c>
      <c r="AI8" s="170" t="s">
        <v>21</v>
      </c>
      <c r="AJ8" s="42" t="s">
        <v>316</v>
      </c>
      <c r="AK8" s="170" t="s">
        <v>21</v>
      </c>
      <c r="AL8" s="55">
        <f t="shared" si="0"/>
        <v>0</v>
      </c>
      <c r="AM8" s="21">
        <f t="shared" si="1"/>
        <v>18</v>
      </c>
      <c r="AN8" s="22">
        <f t="shared" si="2"/>
        <v>13</v>
      </c>
      <c r="AO8" s="27">
        <f t="shared" si="3"/>
        <v>13</v>
      </c>
      <c r="AP8" s="10"/>
      <c r="AR8"/>
    </row>
    <row r="9" spans="1:46" ht="22" hidden="1" customHeight="1">
      <c r="A9" s="701"/>
      <c r="B9" s="20">
        <v>4</v>
      </c>
      <c r="C9" s="781"/>
      <c r="D9" s="782"/>
      <c r="E9" s="704"/>
      <c r="F9" s="783"/>
      <c r="G9" s="59"/>
      <c r="H9" s="59"/>
      <c r="I9" s="57"/>
      <c r="J9" s="114"/>
      <c r="K9" s="59"/>
      <c r="L9" s="388"/>
      <c r="M9" s="114"/>
      <c r="N9" s="117"/>
      <c r="O9" s="57"/>
      <c r="P9" s="91"/>
      <c r="Q9" s="145"/>
      <c r="R9" s="146"/>
      <c r="S9" s="145"/>
      <c r="T9" s="146"/>
      <c r="U9" s="162"/>
      <c r="V9" s="146"/>
      <c r="W9" s="145"/>
      <c r="X9" s="162"/>
      <c r="Y9" s="146"/>
      <c r="Z9" s="145"/>
      <c r="AA9" s="146"/>
      <c r="AB9" s="145"/>
      <c r="AC9" s="146"/>
      <c r="AD9" s="207"/>
      <c r="AE9" s="146"/>
      <c r="AF9" s="146"/>
      <c r="AG9" s="162"/>
      <c r="AH9" s="146"/>
      <c r="AI9" s="145"/>
      <c r="AJ9" s="207"/>
      <c r="AK9" s="460"/>
      <c r="AL9" s="30"/>
      <c r="AM9" s="25"/>
      <c r="AN9" s="26"/>
      <c r="AO9" s="29"/>
      <c r="AP9" s="10"/>
      <c r="AR9" t="s">
        <v>168</v>
      </c>
      <c r="AS9" t="s">
        <v>169</v>
      </c>
      <c r="AT9" t="s">
        <v>170</v>
      </c>
    </row>
    <row r="10" spans="1:46" ht="22" customHeight="1">
      <c r="A10" s="701"/>
      <c r="B10" s="20">
        <v>4</v>
      </c>
      <c r="C10" s="702" t="s">
        <v>284</v>
      </c>
      <c r="D10" s="703"/>
      <c r="E10" s="704" t="s">
        <v>24</v>
      </c>
      <c r="F10" s="783"/>
      <c r="G10" s="114" t="s">
        <v>21</v>
      </c>
      <c r="H10" s="59" t="s">
        <v>121</v>
      </c>
      <c r="I10" s="40" t="s">
        <v>2</v>
      </c>
      <c r="J10" s="59" t="s">
        <v>2</v>
      </c>
      <c r="K10" s="59" t="s">
        <v>283</v>
      </c>
      <c r="L10" s="59" t="s">
        <v>21</v>
      </c>
      <c r="M10" s="59" t="s">
        <v>123</v>
      </c>
      <c r="N10" s="117" t="s">
        <v>158</v>
      </c>
      <c r="O10" s="40" t="s">
        <v>148</v>
      </c>
      <c r="P10" s="40" t="s">
        <v>314</v>
      </c>
      <c r="Q10" s="40" t="s">
        <v>121</v>
      </c>
      <c r="R10" s="59" t="s">
        <v>21</v>
      </c>
      <c r="S10" s="40" t="s">
        <v>120</v>
      </c>
      <c r="T10" s="59" t="s">
        <v>126</v>
      </c>
      <c r="U10" s="57" t="s">
        <v>21</v>
      </c>
      <c r="V10" s="59" t="s">
        <v>126</v>
      </c>
      <c r="W10" s="40" t="s">
        <v>126</v>
      </c>
      <c r="X10" s="57" t="s">
        <v>1</v>
      </c>
      <c r="Y10" s="59" t="s">
        <v>21</v>
      </c>
      <c r="Z10" s="40" t="s">
        <v>126</v>
      </c>
      <c r="AA10" s="59" t="s">
        <v>126</v>
      </c>
      <c r="AB10" s="57" t="s">
        <v>21</v>
      </c>
      <c r="AC10" s="59" t="s">
        <v>368</v>
      </c>
      <c r="AD10" s="114" t="s">
        <v>367</v>
      </c>
      <c r="AE10" s="59" t="s">
        <v>119</v>
      </c>
      <c r="AF10" s="59" t="s">
        <v>21</v>
      </c>
      <c r="AG10" s="57" t="s">
        <v>21</v>
      </c>
      <c r="AH10" s="59" t="s">
        <v>126</v>
      </c>
      <c r="AI10" s="40" t="s">
        <v>126</v>
      </c>
      <c r="AJ10" s="114" t="s">
        <v>1</v>
      </c>
      <c r="AK10" s="65" t="s">
        <v>126</v>
      </c>
      <c r="AL10" s="30">
        <f t="shared" si="0"/>
        <v>0</v>
      </c>
      <c r="AM10" s="25">
        <f t="shared" si="1"/>
        <v>18</v>
      </c>
      <c r="AN10" s="26">
        <f t="shared" si="2"/>
        <v>13</v>
      </c>
      <c r="AO10" s="29">
        <f t="shared" si="3"/>
        <v>13</v>
      </c>
      <c r="AP10" s="10" t="s">
        <v>311</v>
      </c>
      <c r="AR10"/>
      <c r="AS10"/>
      <c r="AT10"/>
    </row>
    <row r="11" spans="1:46" ht="22" customHeight="1">
      <c r="A11" s="701"/>
      <c r="B11" s="20">
        <v>5</v>
      </c>
      <c r="C11" s="706" t="s">
        <v>167</v>
      </c>
      <c r="D11" s="707"/>
      <c r="E11" s="698" t="s">
        <v>24</v>
      </c>
      <c r="F11" s="780"/>
      <c r="G11" s="64" t="s">
        <v>242</v>
      </c>
      <c r="H11" s="40" t="s">
        <v>252</v>
      </c>
      <c r="I11" s="57" t="s">
        <v>21</v>
      </c>
      <c r="J11" s="40" t="s">
        <v>254</v>
      </c>
      <c r="K11" s="40" t="s">
        <v>21</v>
      </c>
      <c r="L11" s="40" t="s">
        <v>21</v>
      </c>
      <c r="M11" s="40" t="s">
        <v>293</v>
      </c>
      <c r="N11" s="40" t="s">
        <v>258</v>
      </c>
      <c r="O11" s="57" t="s">
        <v>21</v>
      </c>
      <c r="P11" s="40" t="s">
        <v>254</v>
      </c>
      <c r="Q11" s="57" t="s">
        <v>276</v>
      </c>
      <c r="R11" s="40" t="s">
        <v>21</v>
      </c>
      <c r="S11" s="40" t="s">
        <v>261</v>
      </c>
      <c r="T11" s="40" t="s">
        <v>290</v>
      </c>
      <c r="U11" s="40" t="s">
        <v>261</v>
      </c>
      <c r="V11" s="114" t="s">
        <v>21</v>
      </c>
      <c r="W11" s="40" t="s">
        <v>292</v>
      </c>
      <c r="X11" s="40" t="s">
        <v>254</v>
      </c>
      <c r="Y11" s="40" t="s">
        <v>21</v>
      </c>
      <c r="Z11" s="57" t="s">
        <v>286</v>
      </c>
      <c r="AA11" s="40" t="s">
        <v>262</v>
      </c>
      <c r="AB11" s="40" t="s">
        <v>261</v>
      </c>
      <c r="AC11" s="59" t="s">
        <v>261</v>
      </c>
      <c r="AD11" s="40" t="s">
        <v>258</v>
      </c>
      <c r="AE11" s="57" t="s">
        <v>255</v>
      </c>
      <c r="AF11" s="40" t="s">
        <v>21</v>
      </c>
      <c r="AG11" s="40" t="s">
        <v>278</v>
      </c>
      <c r="AH11" s="57" t="s">
        <v>295</v>
      </c>
      <c r="AI11" s="57" t="s">
        <v>21</v>
      </c>
      <c r="AJ11" s="59" t="s">
        <v>261</v>
      </c>
      <c r="AK11" s="65" t="s">
        <v>261</v>
      </c>
      <c r="AL11" s="30">
        <f t="shared" si="0"/>
        <v>0</v>
      </c>
      <c r="AM11" s="25">
        <f t="shared" si="1"/>
        <v>18</v>
      </c>
      <c r="AN11" s="26">
        <f t="shared" si="2"/>
        <v>13</v>
      </c>
      <c r="AO11" s="29">
        <f t="shared" si="3"/>
        <v>13</v>
      </c>
      <c r="AP11" s="238"/>
      <c r="AR11">
        <v>112</v>
      </c>
    </row>
    <row r="12" spans="1:46" ht="22" customHeight="1">
      <c r="A12" s="701"/>
      <c r="B12" s="20">
        <v>6</v>
      </c>
      <c r="C12" s="708" t="s">
        <v>241</v>
      </c>
      <c r="D12" s="709"/>
      <c r="E12" s="673" t="s">
        <v>32</v>
      </c>
      <c r="F12" s="778"/>
      <c r="G12" s="463"/>
      <c r="H12" s="464"/>
      <c r="I12" s="465"/>
      <c r="J12" s="465"/>
      <c r="K12" s="466"/>
      <c r="L12" s="466"/>
      <c r="M12" s="465"/>
      <c r="N12" s="465"/>
      <c r="O12" s="465"/>
      <c r="P12" s="107" t="s">
        <v>89</v>
      </c>
      <c r="Q12" s="121" t="s">
        <v>310</v>
      </c>
      <c r="R12" s="40" t="s">
        <v>21</v>
      </c>
      <c r="S12" s="440" t="s">
        <v>261</v>
      </c>
      <c r="T12" s="440" t="s">
        <v>261</v>
      </c>
      <c r="U12" s="440" t="s">
        <v>261</v>
      </c>
      <c r="V12" s="471"/>
      <c r="W12" s="471"/>
      <c r="X12" s="471"/>
      <c r="Y12" s="471"/>
      <c r="Z12" s="471"/>
      <c r="AA12" s="471"/>
      <c r="AB12" s="471"/>
      <c r="AC12" s="472"/>
      <c r="AD12" s="471"/>
      <c r="AE12" s="474"/>
      <c r="AF12" s="471"/>
      <c r="AG12" s="471"/>
      <c r="AH12" s="361"/>
      <c r="AI12" s="471"/>
      <c r="AJ12" s="471"/>
      <c r="AK12" s="473"/>
      <c r="AL12" s="30">
        <f t="shared" si="0"/>
        <v>0</v>
      </c>
      <c r="AM12" s="25">
        <f t="shared" si="1"/>
        <v>4</v>
      </c>
      <c r="AN12" s="26">
        <f t="shared" si="2"/>
        <v>1</v>
      </c>
      <c r="AO12" s="29">
        <f t="shared" si="3"/>
        <v>1</v>
      </c>
      <c r="AP12" s="409"/>
      <c r="AS12"/>
      <c r="AT12"/>
    </row>
    <row r="13" spans="1:46" ht="22" customHeight="1" thickBot="1">
      <c r="A13" s="701"/>
      <c r="B13" s="54">
        <v>7</v>
      </c>
      <c r="C13" s="710" t="s">
        <v>29</v>
      </c>
      <c r="D13" s="711"/>
      <c r="E13" s="712" t="s">
        <v>28</v>
      </c>
      <c r="F13" s="784"/>
      <c r="G13" s="456" t="s">
        <v>242</v>
      </c>
      <c r="H13" s="444" t="s">
        <v>2</v>
      </c>
      <c r="I13" s="445" t="s">
        <v>21</v>
      </c>
      <c r="J13" s="445" t="s">
        <v>251</v>
      </c>
      <c r="K13" s="441" t="s">
        <v>1</v>
      </c>
      <c r="L13" s="441" t="s">
        <v>1</v>
      </c>
      <c r="M13" s="442" t="s">
        <v>1</v>
      </c>
      <c r="N13" s="442" t="s">
        <v>257</v>
      </c>
      <c r="O13" s="442" t="s">
        <v>307</v>
      </c>
      <c r="P13" s="469" t="s">
        <v>21</v>
      </c>
      <c r="Q13" s="346" t="s">
        <v>20</v>
      </c>
      <c r="R13" s="467" t="s">
        <v>1</v>
      </c>
      <c r="S13" s="441" t="s">
        <v>242</v>
      </c>
      <c r="T13" s="441" t="s">
        <v>2</v>
      </c>
      <c r="U13" s="441" t="s">
        <v>2</v>
      </c>
      <c r="V13" s="441" t="s">
        <v>243</v>
      </c>
      <c r="W13" s="444" t="s">
        <v>2</v>
      </c>
      <c r="X13" s="442" t="s">
        <v>21</v>
      </c>
      <c r="Y13" s="441" t="s">
        <v>1</v>
      </c>
      <c r="Z13" s="444" t="s">
        <v>2</v>
      </c>
      <c r="AA13" s="444" t="s">
        <v>242</v>
      </c>
      <c r="AB13" s="444" t="s">
        <v>2</v>
      </c>
      <c r="AC13" s="444" t="s">
        <v>2</v>
      </c>
      <c r="AD13" s="444" t="s">
        <v>2</v>
      </c>
      <c r="AE13" s="445" t="s">
        <v>21</v>
      </c>
      <c r="AF13" s="441" t="s">
        <v>1</v>
      </c>
      <c r="AG13" s="488" t="s">
        <v>2</v>
      </c>
      <c r="AH13" s="215" t="s">
        <v>366</v>
      </c>
      <c r="AI13" s="467" t="s">
        <v>2</v>
      </c>
      <c r="AJ13" s="441" t="s">
        <v>2</v>
      </c>
      <c r="AK13" s="443" t="s">
        <v>2</v>
      </c>
      <c r="AL13" s="221">
        <f t="shared" si="0"/>
        <v>0</v>
      </c>
      <c r="AM13" s="260">
        <f t="shared" si="1"/>
        <v>16</v>
      </c>
      <c r="AN13" s="32">
        <f t="shared" si="2"/>
        <v>13</v>
      </c>
      <c r="AO13" s="167">
        <f t="shared" si="3"/>
        <v>13</v>
      </c>
      <c r="AP13" s="10"/>
    </row>
    <row r="14" spans="1:46" ht="22" customHeight="1">
      <c r="A14" s="701"/>
      <c r="B14" s="353">
        <v>8</v>
      </c>
      <c r="C14" s="714" t="s">
        <v>25</v>
      </c>
      <c r="D14" s="715"/>
      <c r="E14" s="785" t="s">
        <v>30</v>
      </c>
      <c r="F14" s="771"/>
      <c r="G14" s="457" t="s">
        <v>242</v>
      </c>
      <c r="H14" s="455" t="s">
        <v>51</v>
      </c>
      <c r="I14" s="468" t="s">
        <v>21</v>
      </c>
      <c r="J14" s="446" t="s">
        <v>254</v>
      </c>
      <c r="K14" s="149" t="s">
        <v>21</v>
      </c>
      <c r="L14" s="113" t="s">
        <v>21</v>
      </c>
      <c r="M14" s="136" t="s">
        <v>21</v>
      </c>
      <c r="N14" s="56" t="s">
        <v>21</v>
      </c>
      <c r="O14" s="71" t="s">
        <v>261</v>
      </c>
      <c r="P14" s="42" t="s">
        <v>254</v>
      </c>
      <c r="Q14" s="170" t="s">
        <v>264</v>
      </c>
      <c r="R14" s="113" t="s">
        <v>21</v>
      </c>
      <c r="S14" s="42" t="s">
        <v>262</v>
      </c>
      <c r="T14" s="42" t="s">
        <v>261</v>
      </c>
      <c r="U14" s="71" t="s">
        <v>262</v>
      </c>
      <c r="V14" s="42" t="s">
        <v>261</v>
      </c>
      <c r="W14" s="48" t="s">
        <v>21</v>
      </c>
      <c r="X14" s="42" t="s">
        <v>253</v>
      </c>
      <c r="Y14" s="113" t="s">
        <v>21</v>
      </c>
      <c r="Z14" s="323" t="s">
        <v>285</v>
      </c>
      <c r="AA14" s="81" t="s">
        <v>261</v>
      </c>
      <c r="AB14" s="279" t="s">
        <v>21</v>
      </c>
      <c r="AC14" s="81" t="s">
        <v>305</v>
      </c>
      <c r="AD14" s="81" t="s">
        <v>261</v>
      </c>
      <c r="AE14" s="316" t="s">
        <v>21</v>
      </c>
      <c r="AF14" s="149" t="s">
        <v>21</v>
      </c>
      <c r="AG14" s="42" t="s">
        <v>262</v>
      </c>
      <c r="AH14" s="42" t="s">
        <v>261</v>
      </c>
      <c r="AI14" s="56" t="s">
        <v>302</v>
      </c>
      <c r="AJ14" s="42" t="s">
        <v>270</v>
      </c>
      <c r="AK14" s="190" t="s">
        <v>262</v>
      </c>
      <c r="AL14" s="55">
        <f t="shared" si="0"/>
        <v>0</v>
      </c>
      <c r="AM14" s="21">
        <f t="shared" si="1"/>
        <v>18</v>
      </c>
      <c r="AN14" s="22">
        <f t="shared" si="2"/>
        <v>13</v>
      </c>
      <c r="AO14" s="27">
        <f t="shared" si="3"/>
        <v>13</v>
      </c>
      <c r="AP14" s="243"/>
      <c r="AQ14" s="470" t="s">
        <v>306</v>
      </c>
      <c r="AR14" s="700"/>
      <c r="AS14" s="700"/>
      <c r="AT14"/>
    </row>
    <row r="15" spans="1:46" ht="21.75" customHeight="1">
      <c r="A15" s="19" t="s">
        <v>80</v>
      </c>
      <c r="B15" s="301">
        <v>9</v>
      </c>
      <c r="C15" s="684" t="s">
        <v>49</v>
      </c>
      <c r="D15" s="685"/>
      <c r="E15" s="698" t="s">
        <v>31</v>
      </c>
      <c r="F15" s="699"/>
      <c r="G15" s="458" t="s">
        <v>2</v>
      </c>
      <c r="H15" s="57" t="s">
        <v>21</v>
      </c>
      <c r="I15" s="40" t="s">
        <v>303</v>
      </c>
      <c r="J15" s="450" t="s">
        <v>21</v>
      </c>
      <c r="K15" s="110" t="s">
        <v>21</v>
      </c>
      <c r="L15" s="68" t="s">
        <v>21</v>
      </c>
      <c r="M15" s="40" t="s">
        <v>304</v>
      </c>
      <c r="N15" s="40" t="s">
        <v>296</v>
      </c>
      <c r="O15" s="40" t="s">
        <v>262</v>
      </c>
      <c r="P15" s="57" t="s">
        <v>21</v>
      </c>
      <c r="Q15" s="40" t="s">
        <v>254</v>
      </c>
      <c r="R15" s="68" t="s">
        <v>21</v>
      </c>
      <c r="S15" s="57" t="s">
        <v>21</v>
      </c>
      <c r="T15" s="40" t="s">
        <v>269</v>
      </c>
      <c r="U15" s="40" t="s">
        <v>261</v>
      </c>
      <c r="V15" s="40" t="s">
        <v>262</v>
      </c>
      <c r="W15" s="114" t="s">
        <v>21</v>
      </c>
      <c r="X15" s="137" t="s">
        <v>21</v>
      </c>
      <c r="Y15" s="68" t="s">
        <v>21</v>
      </c>
      <c r="Z15" s="285" t="s">
        <v>269</v>
      </c>
      <c r="AA15" s="137" t="s">
        <v>21</v>
      </c>
      <c r="AB15" s="40" t="s">
        <v>261</v>
      </c>
      <c r="AC15" s="40" t="s">
        <v>262</v>
      </c>
      <c r="AD15" s="40" t="s">
        <v>262</v>
      </c>
      <c r="AE15" s="313" t="s">
        <v>267</v>
      </c>
      <c r="AF15" s="110" t="s">
        <v>21</v>
      </c>
      <c r="AG15" s="59" t="s">
        <v>317</v>
      </c>
      <c r="AH15" s="40" t="s">
        <v>269</v>
      </c>
      <c r="AI15" s="40" t="s">
        <v>261</v>
      </c>
      <c r="AJ15" s="59" t="s">
        <v>271</v>
      </c>
      <c r="AK15" s="191" t="s">
        <v>21</v>
      </c>
      <c r="AL15" s="30">
        <f t="shared" si="0"/>
        <v>0</v>
      </c>
      <c r="AM15" s="25">
        <f t="shared" si="1"/>
        <v>18</v>
      </c>
      <c r="AN15" s="26">
        <f t="shared" si="2"/>
        <v>13</v>
      </c>
      <c r="AO15" s="29">
        <f t="shared" si="3"/>
        <v>13</v>
      </c>
      <c r="AP15" s="10"/>
      <c r="AQ15" t="s">
        <v>145</v>
      </c>
      <c r="AR15" s="96"/>
      <c r="AS15" s="96"/>
    </row>
    <row r="16" spans="1:46" ht="21.75" customHeight="1">
      <c r="A16" s="19"/>
      <c r="B16" s="301">
        <v>10</v>
      </c>
      <c r="C16" s="684" t="s">
        <v>114</v>
      </c>
      <c r="D16" s="685"/>
      <c r="E16" s="698" t="s">
        <v>31</v>
      </c>
      <c r="F16" s="699"/>
      <c r="G16" s="458" t="s">
        <v>242</v>
      </c>
      <c r="H16" s="59" t="s">
        <v>262</v>
      </c>
      <c r="I16" s="57" t="s">
        <v>21</v>
      </c>
      <c r="J16" s="450" t="s">
        <v>21</v>
      </c>
      <c r="K16" s="74" t="s">
        <v>21</v>
      </c>
      <c r="L16" s="89" t="s">
        <v>21</v>
      </c>
      <c r="M16" s="114" t="s">
        <v>21</v>
      </c>
      <c r="N16" s="57" t="s">
        <v>21</v>
      </c>
      <c r="O16" s="57" t="s">
        <v>21</v>
      </c>
      <c r="P16" s="40" t="s">
        <v>261</v>
      </c>
      <c r="Q16" s="57" t="s">
        <v>21</v>
      </c>
      <c r="R16" s="89" t="s">
        <v>21</v>
      </c>
      <c r="S16" s="40" t="s">
        <v>272</v>
      </c>
      <c r="T16" s="137" t="s">
        <v>21</v>
      </c>
      <c r="U16" s="40" t="s">
        <v>305</v>
      </c>
      <c r="V16" s="40" t="s">
        <v>272</v>
      </c>
      <c r="W16" s="40" t="s">
        <v>272</v>
      </c>
      <c r="X16" s="40" t="s">
        <v>296</v>
      </c>
      <c r="Y16" s="89" t="s">
        <v>21</v>
      </c>
      <c r="Z16" s="285" t="s">
        <v>274</v>
      </c>
      <c r="AA16" s="59" t="s">
        <v>273</v>
      </c>
      <c r="AB16" s="40" t="s">
        <v>273</v>
      </c>
      <c r="AC16" s="40" t="s">
        <v>272</v>
      </c>
      <c r="AD16" s="40" t="s">
        <v>274</v>
      </c>
      <c r="AE16" s="272" t="s">
        <v>21</v>
      </c>
      <c r="AF16" s="74" t="s">
        <v>21</v>
      </c>
      <c r="AG16" s="40" t="s">
        <v>272</v>
      </c>
      <c r="AH16" s="59" t="s">
        <v>261</v>
      </c>
      <c r="AI16" s="40" t="s">
        <v>262</v>
      </c>
      <c r="AJ16" s="59" t="s">
        <v>261</v>
      </c>
      <c r="AK16" s="189" t="s">
        <v>262</v>
      </c>
      <c r="AL16" s="30">
        <f t="shared" si="0"/>
        <v>0</v>
      </c>
      <c r="AM16" s="25">
        <f t="shared" si="1"/>
        <v>18</v>
      </c>
      <c r="AN16" s="26">
        <f t="shared" si="2"/>
        <v>13</v>
      </c>
      <c r="AO16" s="29">
        <f t="shared" si="3"/>
        <v>13</v>
      </c>
      <c r="AP16" s="10"/>
      <c r="AQ16" s="1">
        <v>212</v>
      </c>
      <c r="AR16" s="96"/>
      <c r="AS16" s="96"/>
    </row>
    <row r="17" spans="1:83" ht="21.75" customHeight="1" thickBot="1">
      <c r="A17" s="19"/>
      <c r="B17" s="301">
        <v>11</v>
      </c>
      <c r="C17" s="696" t="s">
        <v>192</v>
      </c>
      <c r="D17" s="697"/>
      <c r="E17" s="698" t="s">
        <v>31</v>
      </c>
      <c r="F17" s="699"/>
      <c r="G17" s="459" t="s">
        <v>242</v>
      </c>
      <c r="H17" s="269" t="s">
        <v>262</v>
      </c>
      <c r="I17" s="269" t="s">
        <v>258</v>
      </c>
      <c r="J17" s="454" t="s">
        <v>21</v>
      </c>
      <c r="K17" s="110" t="s">
        <v>21</v>
      </c>
      <c r="L17" s="68" t="s">
        <v>21</v>
      </c>
      <c r="M17" s="137" t="s">
        <v>21</v>
      </c>
      <c r="N17" s="59" t="s">
        <v>261</v>
      </c>
      <c r="O17" s="114" t="s">
        <v>21</v>
      </c>
      <c r="P17" s="59" t="s">
        <v>254</v>
      </c>
      <c r="Q17" s="114" t="s">
        <v>21</v>
      </c>
      <c r="R17" s="68" t="s">
        <v>21</v>
      </c>
      <c r="S17" s="121" t="s">
        <v>272</v>
      </c>
      <c r="T17" s="44" t="s">
        <v>272</v>
      </c>
      <c r="U17" s="40" t="s">
        <v>296</v>
      </c>
      <c r="V17" s="137" t="s">
        <v>21</v>
      </c>
      <c r="W17" s="121" t="s">
        <v>272</v>
      </c>
      <c r="X17" s="171" t="s">
        <v>21</v>
      </c>
      <c r="Y17" s="68" t="s">
        <v>21</v>
      </c>
      <c r="Z17" s="274" t="s">
        <v>272</v>
      </c>
      <c r="AA17" s="321" t="s">
        <v>272</v>
      </c>
      <c r="AB17" s="275" t="s">
        <v>274</v>
      </c>
      <c r="AC17" s="275" t="s">
        <v>274</v>
      </c>
      <c r="AD17" s="275" t="s">
        <v>274</v>
      </c>
      <c r="AE17" s="315" t="s">
        <v>21</v>
      </c>
      <c r="AF17" s="110" t="s">
        <v>21</v>
      </c>
      <c r="AG17" s="59" t="s">
        <v>273</v>
      </c>
      <c r="AH17" s="40" t="s">
        <v>274</v>
      </c>
      <c r="AI17" s="59" t="s">
        <v>272</v>
      </c>
      <c r="AJ17" s="114" t="s">
        <v>21</v>
      </c>
      <c r="AK17" s="198" t="s">
        <v>272</v>
      </c>
      <c r="AL17" s="30">
        <f t="shared" si="0"/>
        <v>0</v>
      </c>
      <c r="AM17" s="25">
        <f t="shared" si="1"/>
        <v>18</v>
      </c>
      <c r="AN17" s="26">
        <f t="shared" si="2"/>
        <v>13</v>
      </c>
      <c r="AO17" s="29">
        <f t="shared" si="3"/>
        <v>13</v>
      </c>
      <c r="AP17" s="10"/>
      <c r="AQ17" s="689"/>
      <c r="AR17" s="689"/>
      <c r="AS17" s="653"/>
      <c r="AT17" s="653"/>
      <c r="AU17" s="156"/>
      <c r="AV17" s="157"/>
      <c r="AW17" s="157"/>
      <c r="AX17" s="218"/>
      <c r="AY17" s="157"/>
      <c r="AZ17" s="218"/>
      <c r="BA17" s="157"/>
      <c r="BB17" s="203"/>
      <c r="BC17" s="157"/>
      <c r="BD17" s="157"/>
      <c r="BE17" s="157"/>
      <c r="BF17" s="157"/>
      <c r="BG17" s="157"/>
      <c r="BH17" s="157"/>
      <c r="BI17" s="156"/>
      <c r="BJ17" s="157"/>
      <c r="BK17" s="157"/>
      <c r="BL17" s="158"/>
      <c r="BM17" s="158"/>
      <c r="BN17" s="157"/>
      <c r="BO17" s="157"/>
      <c r="BP17" s="302"/>
      <c r="BQ17" s="157"/>
      <c r="BR17" s="157"/>
      <c r="BS17" s="158"/>
      <c r="BT17" s="157"/>
      <c r="BU17" s="299"/>
      <c r="BV17" s="157"/>
      <c r="BW17" s="157"/>
      <c r="BX17" s="157"/>
      <c r="BY17" s="156"/>
      <c r="BZ17" s="159"/>
      <c r="CA17" s="161"/>
      <c r="CB17" s="160"/>
      <c r="CC17" s="160"/>
    </row>
    <row r="18" spans="1:83" ht="21.75" customHeight="1">
      <c r="A18" s="19"/>
      <c r="B18" s="301">
        <v>12</v>
      </c>
      <c r="C18" s="682" t="s">
        <v>193</v>
      </c>
      <c r="D18" s="683"/>
      <c r="E18" s="698" t="s">
        <v>31</v>
      </c>
      <c r="F18" s="780"/>
      <c r="G18" s="62" t="s">
        <v>2</v>
      </c>
      <c r="H18" s="137" t="s">
        <v>21</v>
      </c>
      <c r="I18" s="71" t="s">
        <v>268</v>
      </c>
      <c r="J18" s="71" t="s">
        <v>285</v>
      </c>
      <c r="K18" s="47" t="s">
        <v>255</v>
      </c>
      <c r="L18" s="47" t="s">
        <v>21</v>
      </c>
      <c r="M18" s="114" t="s">
        <v>21</v>
      </c>
      <c r="N18" s="114" t="s">
        <v>1</v>
      </c>
      <c r="O18" s="59" t="s">
        <v>290</v>
      </c>
      <c r="P18" s="59" t="s">
        <v>261</v>
      </c>
      <c r="Q18" s="114" t="s">
        <v>255</v>
      </c>
      <c r="R18" s="74" t="s">
        <v>21</v>
      </c>
      <c r="S18" s="270" t="s">
        <v>261</v>
      </c>
      <c r="T18" s="169" t="s">
        <v>266</v>
      </c>
      <c r="U18" s="169" t="s">
        <v>261</v>
      </c>
      <c r="V18" s="169" t="s">
        <v>265</v>
      </c>
      <c r="W18" s="169" t="s">
        <v>58</v>
      </c>
      <c r="X18" s="325" t="s">
        <v>21</v>
      </c>
      <c r="Y18" s="47" t="s">
        <v>21</v>
      </c>
      <c r="Z18" s="71" t="s">
        <v>262</v>
      </c>
      <c r="AA18" s="71" t="s">
        <v>261</v>
      </c>
      <c r="AB18" s="71" t="s">
        <v>261</v>
      </c>
      <c r="AC18" s="71" t="s">
        <v>272</v>
      </c>
      <c r="AD18" s="137" t="s">
        <v>21</v>
      </c>
      <c r="AE18" s="170" t="s">
        <v>21</v>
      </c>
      <c r="AF18" s="47" t="s">
        <v>21</v>
      </c>
      <c r="AG18" s="59" t="s">
        <v>273</v>
      </c>
      <c r="AH18" s="137" t="s">
        <v>21</v>
      </c>
      <c r="AI18" s="59" t="s">
        <v>273</v>
      </c>
      <c r="AJ18" s="59" t="s">
        <v>273</v>
      </c>
      <c r="AK18" s="198" t="s">
        <v>273</v>
      </c>
      <c r="AL18" s="30">
        <f t="shared" si="0"/>
        <v>0</v>
      </c>
      <c r="AM18" s="25">
        <f t="shared" si="1"/>
        <v>18</v>
      </c>
      <c r="AN18" s="26">
        <f t="shared" si="2"/>
        <v>13</v>
      </c>
      <c r="AO18" s="29">
        <f t="shared" si="3"/>
        <v>13</v>
      </c>
      <c r="AP18" s="238"/>
      <c r="AQ18" s="689"/>
      <c r="AR18" s="689"/>
      <c r="AS18" s="653"/>
      <c r="AT18" s="653"/>
      <c r="AU18" s="156"/>
      <c r="AV18" s="157"/>
      <c r="AW18" s="157"/>
      <c r="AX18" s="158"/>
      <c r="AY18" s="156"/>
      <c r="AZ18" s="156"/>
      <c r="BA18" s="156"/>
      <c r="BB18" s="156"/>
      <c r="BC18" s="157"/>
      <c r="BD18" s="206"/>
      <c r="BE18" s="206"/>
      <c r="BF18" s="218"/>
      <c r="BG18" s="206"/>
      <c r="BH18" s="16"/>
      <c r="BI18" s="156"/>
      <c r="BJ18" s="157"/>
      <c r="BK18" s="206"/>
      <c r="BL18" s="218"/>
      <c r="BM18" s="218"/>
      <c r="BN18" s="218"/>
      <c r="BO18" s="206"/>
      <c r="BP18" s="203"/>
      <c r="BQ18" s="157"/>
      <c r="BR18" s="206"/>
      <c r="BS18" s="218"/>
      <c r="BT18" s="218"/>
      <c r="BU18" s="306"/>
      <c r="BV18" s="218"/>
      <c r="BW18" s="203"/>
      <c r="BX18" s="157"/>
      <c r="BY18" s="157"/>
      <c r="BZ18" s="159"/>
      <c r="CA18" s="161"/>
      <c r="CB18" s="160"/>
      <c r="CC18" s="160"/>
    </row>
    <row r="19" spans="1:83" ht="22" customHeight="1">
      <c r="A19" s="19"/>
      <c r="B19" s="301">
        <v>13</v>
      </c>
      <c r="C19" s="682" t="s">
        <v>95</v>
      </c>
      <c r="D19" s="683"/>
      <c r="E19" s="673" t="s">
        <v>31</v>
      </c>
      <c r="F19" s="778"/>
      <c r="G19" s="64" t="s">
        <v>2</v>
      </c>
      <c r="H19" s="59" t="s">
        <v>253</v>
      </c>
      <c r="I19" s="40" t="s">
        <v>253</v>
      </c>
      <c r="J19" s="40" t="s">
        <v>253</v>
      </c>
      <c r="K19" s="47" t="s">
        <v>21</v>
      </c>
      <c r="L19" s="47" t="s">
        <v>21</v>
      </c>
      <c r="M19" s="59" t="s">
        <v>254</v>
      </c>
      <c r="N19" s="40" t="s">
        <v>254</v>
      </c>
      <c r="O19" s="40" t="s">
        <v>253</v>
      </c>
      <c r="P19" s="40" t="s">
        <v>253</v>
      </c>
      <c r="Q19" s="40" t="s">
        <v>254</v>
      </c>
      <c r="R19" s="74" t="s">
        <v>21</v>
      </c>
      <c r="S19" s="273" t="s">
        <v>294</v>
      </c>
      <c r="T19" s="114" t="s">
        <v>255</v>
      </c>
      <c r="U19" s="57" t="s">
        <v>21</v>
      </c>
      <c r="V19" s="57" t="s">
        <v>21</v>
      </c>
      <c r="W19" s="114" t="s">
        <v>255</v>
      </c>
      <c r="X19" s="272" t="s">
        <v>21</v>
      </c>
      <c r="Y19" s="47" t="s">
        <v>21</v>
      </c>
      <c r="Z19" s="57" t="s">
        <v>291</v>
      </c>
      <c r="AA19" s="114" t="s">
        <v>260</v>
      </c>
      <c r="AB19" s="91" t="s">
        <v>287</v>
      </c>
      <c r="AC19" s="40" t="s">
        <v>254</v>
      </c>
      <c r="AD19" s="130" t="s">
        <v>254</v>
      </c>
      <c r="AE19" s="40" t="s">
        <v>253</v>
      </c>
      <c r="AF19" s="47" t="s">
        <v>21</v>
      </c>
      <c r="AG19" s="40" t="s">
        <v>254</v>
      </c>
      <c r="AH19" s="59" t="s">
        <v>254</v>
      </c>
      <c r="AI19" s="40" t="s">
        <v>253</v>
      </c>
      <c r="AJ19" s="40" t="s">
        <v>254</v>
      </c>
      <c r="AK19" s="189" t="s">
        <v>256</v>
      </c>
      <c r="AL19" s="30">
        <f t="shared" si="0"/>
        <v>1</v>
      </c>
      <c r="AM19" s="25">
        <f t="shared" si="1"/>
        <v>17</v>
      </c>
      <c r="AN19" s="26">
        <f t="shared" si="2"/>
        <v>13</v>
      </c>
      <c r="AO19" s="29">
        <f t="shared" si="3"/>
        <v>14</v>
      </c>
      <c r="AP19" s="10"/>
      <c r="AQ19" s="303"/>
      <c r="AR19" s="692"/>
      <c r="AS19" s="692"/>
      <c r="AT19" s="693"/>
      <c r="AU19" s="693"/>
      <c r="AV19" s="158"/>
      <c r="AW19" s="157"/>
      <c r="AX19" s="157"/>
      <c r="AY19" s="158"/>
      <c r="AZ19" s="157"/>
      <c r="BA19" s="157"/>
      <c r="BB19" s="157"/>
      <c r="BC19" s="157"/>
      <c r="BD19" s="157"/>
      <c r="BE19" s="157"/>
      <c r="BF19" s="158"/>
      <c r="BG19" s="157"/>
      <c r="BH19" s="158"/>
      <c r="BI19" s="158"/>
      <c r="BJ19" s="158"/>
      <c r="BK19" s="157"/>
      <c r="BL19" s="158"/>
      <c r="BM19" s="157"/>
      <c r="BN19" s="157"/>
      <c r="BO19" s="304"/>
      <c r="BP19" s="157"/>
      <c r="BQ19" s="157"/>
      <c r="BR19" s="157"/>
      <c r="BS19" s="157"/>
      <c r="BT19" s="158"/>
      <c r="BU19" s="157"/>
      <c r="BV19" s="299"/>
      <c r="BW19" s="157"/>
      <c r="BX19" s="158"/>
      <c r="BY19" s="157"/>
      <c r="BZ19" s="158"/>
      <c r="CA19" s="305"/>
      <c r="CB19" s="161"/>
      <c r="CC19" s="161"/>
      <c r="CD19" s="161"/>
    </row>
    <row r="20" spans="1:83" ht="22" customHeight="1" thickBot="1">
      <c r="A20" s="19"/>
      <c r="B20" s="301">
        <v>14</v>
      </c>
      <c r="C20" s="684" t="s">
        <v>200</v>
      </c>
      <c r="D20" s="685"/>
      <c r="E20" s="694" t="s">
        <v>31</v>
      </c>
      <c r="F20" s="779"/>
      <c r="G20" s="64" t="s">
        <v>242</v>
      </c>
      <c r="H20" s="40" t="s">
        <v>273</v>
      </c>
      <c r="I20" s="137" t="s">
        <v>21</v>
      </c>
      <c r="J20" s="57" t="s">
        <v>21</v>
      </c>
      <c r="K20" s="64" t="s">
        <v>21</v>
      </c>
      <c r="L20" s="64" t="s">
        <v>21</v>
      </c>
      <c r="M20" s="44" t="s">
        <v>58</v>
      </c>
      <c r="N20" s="44" t="s">
        <v>254</v>
      </c>
      <c r="O20" s="83" t="s">
        <v>21</v>
      </c>
      <c r="P20" s="44" t="s">
        <v>261</v>
      </c>
      <c r="Q20" s="83" t="s">
        <v>21</v>
      </c>
      <c r="R20" s="110" t="s">
        <v>21</v>
      </c>
      <c r="S20" s="341" t="s">
        <v>261</v>
      </c>
      <c r="T20" s="321" t="s">
        <v>262</v>
      </c>
      <c r="U20" s="321" t="s">
        <v>262</v>
      </c>
      <c r="V20" s="321" t="s">
        <v>262</v>
      </c>
      <c r="W20" s="321" t="s">
        <v>262</v>
      </c>
      <c r="X20" s="278" t="s">
        <v>285</v>
      </c>
      <c r="Y20" s="64" t="s">
        <v>21</v>
      </c>
      <c r="Z20" s="59" t="s">
        <v>261</v>
      </c>
      <c r="AA20" s="40" t="s">
        <v>261</v>
      </c>
      <c r="AB20" s="40" t="s">
        <v>261</v>
      </c>
      <c r="AC20" s="137" t="s">
        <v>21</v>
      </c>
      <c r="AD20" s="40" t="s">
        <v>272</v>
      </c>
      <c r="AE20" s="57" t="s">
        <v>21</v>
      </c>
      <c r="AF20" s="64" t="s">
        <v>21</v>
      </c>
      <c r="AG20" s="44" t="s">
        <v>272</v>
      </c>
      <c r="AH20" s="44" t="s">
        <v>272</v>
      </c>
      <c r="AI20" s="137" t="s">
        <v>263</v>
      </c>
      <c r="AJ20" s="121" t="s">
        <v>272</v>
      </c>
      <c r="AK20" s="462" t="s">
        <v>21</v>
      </c>
      <c r="AL20" s="30">
        <f t="shared" si="0"/>
        <v>0</v>
      </c>
      <c r="AM20" s="25">
        <f t="shared" si="1"/>
        <v>18</v>
      </c>
      <c r="AN20" s="26">
        <f t="shared" si="2"/>
        <v>13</v>
      </c>
      <c r="AO20" s="29">
        <f t="shared" si="3"/>
        <v>13</v>
      </c>
      <c r="AP20" s="10"/>
      <c r="AQ20" s="652"/>
      <c r="AR20" s="652"/>
      <c r="AS20" s="653"/>
      <c r="AT20" s="653"/>
      <c r="AU20" s="158"/>
      <c r="AV20" s="157"/>
      <c r="AW20" s="157"/>
      <c r="AX20" s="158"/>
      <c r="AY20" s="157"/>
      <c r="AZ20" s="156"/>
      <c r="BA20" s="157"/>
      <c r="BB20" s="156"/>
      <c r="BC20" s="157"/>
      <c r="BD20" s="157"/>
      <c r="BE20" s="157"/>
      <c r="BF20" s="157"/>
      <c r="BG20" s="157"/>
      <c r="BH20" s="157"/>
      <c r="BI20" s="158"/>
      <c r="BJ20" s="157"/>
      <c r="BK20" s="157"/>
      <c r="BL20" s="156"/>
      <c r="BM20" s="157"/>
      <c r="BN20" s="157"/>
      <c r="BO20" s="203"/>
      <c r="BP20" s="158"/>
      <c r="BQ20" s="157"/>
      <c r="BR20" s="203"/>
      <c r="BS20" s="156"/>
      <c r="BT20" s="157"/>
      <c r="BU20" s="299"/>
      <c r="BV20" s="157"/>
      <c r="BW20" s="203"/>
      <c r="BX20" s="157"/>
      <c r="BY20" s="157"/>
      <c r="BZ20" s="159"/>
      <c r="CA20" s="161"/>
      <c r="CB20" s="160"/>
      <c r="CC20" s="160"/>
    </row>
    <row r="21" spans="1:83" ht="22" customHeight="1">
      <c r="A21" s="19"/>
      <c r="B21" s="301">
        <v>15</v>
      </c>
      <c r="C21" s="684" t="s">
        <v>194</v>
      </c>
      <c r="D21" s="685"/>
      <c r="E21" s="686" t="s">
        <v>31</v>
      </c>
      <c r="F21" s="776"/>
      <c r="G21" s="64" t="s">
        <v>2</v>
      </c>
      <c r="H21" s="40" t="s">
        <v>272</v>
      </c>
      <c r="I21" s="40" t="s">
        <v>269</v>
      </c>
      <c r="J21" s="137" t="s">
        <v>21</v>
      </c>
      <c r="K21" s="59" t="s">
        <v>21</v>
      </c>
      <c r="L21" s="89" t="s">
        <v>21</v>
      </c>
      <c r="M21" s="289" t="s">
        <v>21</v>
      </c>
      <c r="N21" s="81" t="s">
        <v>261</v>
      </c>
      <c r="O21" s="279" t="s">
        <v>21</v>
      </c>
      <c r="P21" s="81" t="s">
        <v>269</v>
      </c>
      <c r="Q21" s="325" t="s">
        <v>21</v>
      </c>
      <c r="R21" s="47" t="s">
        <v>21</v>
      </c>
      <c r="S21" s="42" t="s">
        <v>272</v>
      </c>
      <c r="T21" s="71" t="s">
        <v>315</v>
      </c>
      <c r="U21" s="42" t="s">
        <v>273</v>
      </c>
      <c r="V21" s="42" t="s">
        <v>272</v>
      </c>
      <c r="W21" s="42" t="s">
        <v>273</v>
      </c>
      <c r="X21" s="137" t="s">
        <v>21</v>
      </c>
      <c r="Y21" s="59" t="s">
        <v>21</v>
      </c>
      <c r="Z21" s="40" t="s">
        <v>272</v>
      </c>
      <c r="AA21" s="114" t="s">
        <v>21</v>
      </c>
      <c r="AB21" s="59" t="s">
        <v>273</v>
      </c>
      <c r="AC21" s="59" t="s">
        <v>274</v>
      </c>
      <c r="AD21" s="57" t="s">
        <v>21</v>
      </c>
      <c r="AE21" s="40" t="s">
        <v>254</v>
      </c>
      <c r="AF21" s="89" t="s">
        <v>21</v>
      </c>
      <c r="AG21" s="311" t="s">
        <v>21</v>
      </c>
      <c r="AH21" s="169" t="s">
        <v>272</v>
      </c>
      <c r="AI21" s="81" t="s">
        <v>285</v>
      </c>
      <c r="AJ21" s="81" t="s">
        <v>285</v>
      </c>
      <c r="AK21" s="408" t="s">
        <v>272</v>
      </c>
      <c r="AL21" s="268">
        <f t="shared" si="0"/>
        <v>0</v>
      </c>
      <c r="AM21" s="25">
        <f t="shared" si="1"/>
        <v>18</v>
      </c>
      <c r="AN21" s="26">
        <f t="shared" si="2"/>
        <v>13</v>
      </c>
      <c r="AO21" s="29">
        <f t="shared" si="3"/>
        <v>13</v>
      </c>
      <c r="AP21" s="10"/>
      <c r="AQ21" s="652"/>
      <c r="AR21" s="652"/>
      <c r="AS21" s="653"/>
      <c r="AT21" s="653"/>
      <c r="AU21" s="203"/>
      <c r="AV21" s="158"/>
      <c r="AW21" s="157"/>
      <c r="AX21" s="158"/>
      <c r="AY21" s="158"/>
      <c r="AZ21" s="157"/>
      <c r="BA21" s="157"/>
      <c r="BB21" s="203"/>
      <c r="BC21" s="158"/>
      <c r="BD21" s="157"/>
      <c r="BE21" s="156"/>
      <c r="BF21" s="158"/>
      <c r="BG21" s="158"/>
      <c r="BH21" s="157"/>
      <c r="BI21" s="158"/>
      <c r="BJ21" s="158"/>
      <c r="BK21" s="158"/>
      <c r="BL21" s="158"/>
      <c r="BM21" s="158"/>
      <c r="BN21" s="158"/>
      <c r="BO21" s="158"/>
      <c r="BP21" s="203"/>
      <c r="BQ21" s="158"/>
      <c r="BR21" s="157"/>
      <c r="BS21" s="158"/>
      <c r="BT21" s="158"/>
      <c r="BU21" s="158"/>
      <c r="BV21" s="156"/>
      <c r="BW21" s="158"/>
      <c r="BX21" s="158"/>
      <c r="BY21" s="156"/>
      <c r="BZ21" s="159"/>
      <c r="CA21" s="161"/>
      <c r="CB21" s="160"/>
      <c r="CC21" s="160"/>
    </row>
    <row r="22" spans="1:83" ht="22" customHeight="1">
      <c r="A22" s="19"/>
      <c r="B22" s="301">
        <v>16</v>
      </c>
      <c r="C22" s="690" t="s">
        <v>38</v>
      </c>
      <c r="D22" s="691"/>
      <c r="E22" s="686" t="s">
        <v>196</v>
      </c>
      <c r="F22" s="776"/>
      <c r="G22" s="64" t="s">
        <v>242</v>
      </c>
      <c r="H22" s="59" t="s">
        <v>274</v>
      </c>
      <c r="I22" s="57" t="s">
        <v>21</v>
      </c>
      <c r="J22" s="57" t="s">
        <v>255</v>
      </c>
      <c r="K22" s="59" t="s">
        <v>255</v>
      </c>
      <c r="L22" s="89" t="s">
        <v>21</v>
      </c>
      <c r="M22" s="280" t="s">
        <v>254</v>
      </c>
      <c r="N22" s="57" t="s">
        <v>21</v>
      </c>
      <c r="O22" s="40" t="s">
        <v>262</v>
      </c>
      <c r="P22" s="40" t="s">
        <v>262</v>
      </c>
      <c r="Q22" s="382" t="s">
        <v>21</v>
      </c>
      <c r="R22" s="47" t="s">
        <v>21</v>
      </c>
      <c r="S22" s="40" t="s">
        <v>272</v>
      </c>
      <c r="T22" s="59" t="s">
        <v>273</v>
      </c>
      <c r="U22" s="137" t="s">
        <v>21</v>
      </c>
      <c r="V22" s="59" t="s">
        <v>272</v>
      </c>
      <c r="W22" s="40" t="s">
        <v>272</v>
      </c>
      <c r="X22" s="57" t="s">
        <v>259</v>
      </c>
      <c r="Y22" s="59" t="s">
        <v>21</v>
      </c>
      <c r="Z22" s="40" t="s">
        <v>272</v>
      </c>
      <c r="AA22" s="59" t="s">
        <v>272</v>
      </c>
      <c r="AB22" s="40" t="s">
        <v>272</v>
      </c>
      <c r="AC22" s="40" t="s">
        <v>272</v>
      </c>
      <c r="AD22" s="40" t="s">
        <v>273</v>
      </c>
      <c r="AE22" s="137" t="s">
        <v>21</v>
      </c>
      <c r="AF22" s="89" t="s">
        <v>21</v>
      </c>
      <c r="AG22" s="285" t="s">
        <v>272</v>
      </c>
      <c r="AH22" s="59" t="s">
        <v>273</v>
      </c>
      <c r="AI22" s="40" t="s">
        <v>285</v>
      </c>
      <c r="AJ22" s="57" t="s">
        <v>21</v>
      </c>
      <c r="AK22" s="448" t="s">
        <v>272</v>
      </c>
      <c r="AL22" s="268">
        <f t="shared" si="0"/>
        <v>0</v>
      </c>
      <c r="AM22" s="25">
        <f t="shared" si="1"/>
        <v>18</v>
      </c>
      <c r="AN22" s="26">
        <f t="shared" si="2"/>
        <v>13</v>
      </c>
      <c r="AO22" s="29">
        <f t="shared" si="3"/>
        <v>13</v>
      </c>
      <c r="AP22" s="10"/>
      <c r="AR22" s="652"/>
      <c r="AS22" s="652"/>
    </row>
    <row r="23" spans="1:83" ht="22" customHeight="1">
      <c r="A23" s="19"/>
      <c r="B23" s="301">
        <v>17</v>
      </c>
      <c r="C23" s="687" t="s">
        <v>201</v>
      </c>
      <c r="D23" s="688"/>
      <c r="E23" s="686" t="s">
        <v>31</v>
      </c>
      <c r="F23" s="776"/>
      <c r="G23" s="64" t="s">
        <v>2</v>
      </c>
      <c r="H23" s="40" t="s">
        <v>293</v>
      </c>
      <c r="I23" s="57" t="s">
        <v>21</v>
      </c>
      <c r="J23" s="40" t="s">
        <v>254</v>
      </c>
      <c r="K23" s="40" t="s">
        <v>21</v>
      </c>
      <c r="L23" s="68" t="s">
        <v>21</v>
      </c>
      <c r="M23" s="273" t="s">
        <v>21</v>
      </c>
      <c r="N23" s="57" t="s">
        <v>21</v>
      </c>
      <c r="O23" s="40" t="s">
        <v>262</v>
      </c>
      <c r="P23" s="40" t="s">
        <v>262</v>
      </c>
      <c r="Q23" s="284" t="s">
        <v>314</v>
      </c>
      <c r="R23" s="64" t="s">
        <v>21</v>
      </c>
      <c r="S23" s="57" t="s">
        <v>21</v>
      </c>
      <c r="T23" s="57" t="s">
        <v>21</v>
      </c>
      <c r="U23" s="40" t="s">
        <v>273</v>
      </c>
      <c r="V23" s="40" t="s">
        <v>272</v>
      </c>
      <c r="W23" s="40" t="s">
        <v>272</v>
      </c>
      <c r="X23" s="137" t="s">
        <v>21</v>
      </c>
      <c r="Y23" s="40" t="s">
        <v>21</v>
      </c>
      <c r="Z23" s="452" t="s">
        <v>21</v>
      </c>
      <c r="AA23" s="40" t="s">
        <v>272</v>
      </c>
      <c r="AB23" s="40" t="s">
        <v>272</v>
      </c>
      <c r="AC23" s="40" t="s">
        <v>272</v>
      </c>
      <c r="AD23" s="40" t="s">
        <v>272</v>
      </c>
      <c r="AE23" s="59" t="s">
        <v>254</v>
      </c>
      <c r="AF23" s="68" t="s">
        <v>21</v>
      </c>
      <c r="AG23" s="285" t="s">
        <v>273</v>
      </c>
      <c r="AH23" s="40" t="s">
        <v>273</v>
      </c>
      <c r="AI23" s="40" t="s">
        <v>272</v>
      </c>
      <c r="AJ23" s="40" t="s">
        <v>273</v>
      </c>
      <c r="AK23" s="453" t="s">
        <v>21</v>
      </c>
      <c r="AL23" s="268">
        <f t="shared" si="0"/>
        <v>0</v>
      </c>
      <c r="AM23" s="25">
        <f t="shared" si="1"/>
        <v>18</v>
      </c>
      <c r="AN23" s="26">
        <f t="shared" si="2"/>
        <v>13</v>
      </c>
      <c r="AO23" s="29">
        <f t="shared" si="3"/>
        <v>13</v>
      </c>
      <c r="AP23" s="10"/>
      <c r="AR23" s="96"/>
      <c r="AS23" s="96"/>
    </row>
    <row r="24" spans="1:83" ht="22" customHeight="1" thickBot="1">
      <c r="A24" s="19"/>
      <c r="B24" s="54">
        <v>18</v>
      </c>
      <c r="C24" s="675" t="s">
        <v>202</v>
      </c>
      <c r="D24" s="676"/>
      <c r="E24" s="677" t="s">
        <v>31</v>
      </c>
      <c r="F24" s="777"/>
      <c r="G24" s="46" t="s">
        <v>2</v>
      </c>
      <c r="H24" s="93" t="s">
        <v>274</v>
      </c>
      <c r="I24" s="93" t="s">
        <v>261</v>
      </c>
      <c r="J24" s="141" t="s">
        <v>21</v>
      </c>
      <c r="K24" s="121" t="s">
        <v>21</v>
      </c>
      <c r="L24" s="84" t="s">
        <v>21</v>
      </c>
      <c r="M24" s="451" t="s">
        <v>21</v>
      </c>
      <c r="N24" s="275" t="s">
        <v>262</v>
      </c>
      <c r="O24" s="281" t="s">
        <v>21</v>
      </c>
      <c r="P24" s="334" t="s">
        <v>21</v>
      </c>
      <c r="Q24" s="282" t="s">
        <v>254</v>
      </c>
      <c r="R24" s="67" t="s">
        <v>21</v>
      </c>
      <c r="S24" s="43" t="s">
        <v>272</v>
      </c>
      <c r="T24" s="43" t="s">
        <v>273</v>
      </c>
      <c r="U24" s="43" t="s">
        <v>272</v>
      </c>
      <c r="V24" s="137" t="s">
        <v>21</v>
      </c>
      <c r="W24" s="43" t="s">
        <v>272</v>
      </c>
      <c r="X24" s="43" t="s">
        <v>253</v>
      </c>
      <c r="Y24" s="121" t="s">
        <v>21</v>
      </c>
      <c r="Z24" s="43" t="s">
        <v>272</v>
      </c>
      <c r="AA24" s="43" t="s">
        <v>273</v>
      </c>
      <c r="AB24" s="50" t="s">
        <v>21</v>
      </c>
      <c r="AC24" s="43" t="s">
        <v>273</v>
      </c>
      <c r="AD24" s="43" t="s">
        <v>272</v>
      </c>
      <c r="AE24" s="137" t="s">
        <v>21</v>
      </c>
      <c r="AF24" s="84" t="s">
        <v>21</v>
      </c>
      <c r="AG24" s="274" t="s">
        <v>273</v>
      </c>
      <c r="AH24" s="334" t="s">
        <v>21</v>
      </c>
      <c r="AI24" s="275" t="s">
        <v>272</v>
      </c>
      <c r="AJ24" s="275" t="s">
        <v>273</v>
      </c>
      <c r="AK24" s="449" t="s">
        <v>272</v>
      </c>
      <c r="AL24" s="447">
        <f t="shared" si="0"/>
        <v>0</v>
      </c>
      <c r="AM24" s="23">
        <f t="shared" si="1"/>
        <v>18</v>
      </c>
      <c r="AN24" s="24">
        <f t="shared" si="2"/>
        <v>13</v>
      </c>
      <c r="AO24" s="28">
        <f t="shared" si="3"/>
        <v>13</v>
      </c>
      <c r="AP24" s="10"/>
      <c r="AR24" s="300"/>
      <c r="AS24" s="652"/>
      <c r="AT24" s="652"/>
      <c r="AU24" s="653"/>
      <c r="AV24" s="653"/>
      <c r="AW24" s="203"/>
      <c r="AX24" s="157"/>
      <c r="AY24" s="157"/>
      <c r="AZ24" s="298"/>
      <c r="BA24" s="157"/>
      <c r="BB24" s="156"/>
      <c r="BC24" s="157"/>
      <c r="BD24" s="157"/>
      <c r="BE24" s="157"/>
      <c r="BF24" s="204"/>
      <c r="BG24" s="157"/>
      <c r="BH24" s="157"/>
      <c r="BI24" s="298"/>
      <c r="BJ24" s="157"/>
      <c r="BK24" s="157"/>
      <c r="BL24" s="157"/>
      <c r="BM24" s="204"/>
      <c r="BN24" s="156"/>
      <c r="BO24" s="157"/>
      <c r="BP24" s="157"/>
      <c r="BQ24" s="157"/>
      <c r="BR24" s="203"/>
      <c r="BS24" s="157"/>
      <c r="BT24" s="157"/>
      <c r="BU24" s="158"/>
      <c r="BV24" s="157"/>
      <c r="BW24" s="299"/>
      <c r="BX24" s="157"/>
      <c r="BY24" s="157"/>
      <c r="BZ24" s="157"/>
      <c r="CA24" s="157"/>
      <c r="CB24" s="159"/>
      <c r="CC24" s="161"/>
      <c r="CD24" s="160"/>
      <c r="CE24" s="160"/>
    </row>
    <row r="25" spans="1:83" ht="22" customHeight="1">
      <c r="A25" s="19"/>
      <c r="B25" s="416">
        <v>19</v>
      </c>
      <c r="C25" s="678" t="s">
        <v>197</v>
      </c>
      <c r="D25" s="679"/>
      <c r="E25" s="680" t="s">
        <v>94</v>
      </c>
      <c r="F25" s="681"/>
      <c r="G25" s="414" t="s">
        <v>242</v>
      </c>
      <c r="H25" s="291" t="s">
        <v>2</v>
      </c>
      <c r="I25" s="292" t="s">
        <v>21</v>
      </c>
      <c r="J25" s="292" t="s">
        <v>21</v>
      </c>
      <c r="K25" s="291" t="s">
        <v>1</v>
      </c>
      <c r="L25" s="291" t="s">
        <v>1</v>
      </c>
      <c r="M25" s="104" t="s">
        <v>21</v>
      </c>
      <c r="N25" s="104" t="s">
        <v>21</v>
      </c>
      <c r="O25" s="104" t="s">
        <v>21</v>
      </c>
      <c r="P25" s="49" t="s">
        <v>2</v>
      </c>
      <c r="Q25" s="104" t="s">
        <v>21</v>
      </c>
      <c r="R25" s="291" t="s">
        <v>1</v>
      </c>
      <c r="S25" s="291" t="s">
        <v>242</v>
      </c>
      <c r="T25" s="291" t="s">
        <v>2</v>
      </c>
      <c r="U25" s="291" t="s">
        <v>2</v>
      </c>
      <c r="V25" s="291" t="s">
        <v>243</v>
      </c>
      <c r="W25" s="291" t="s">
        <v>2</v>
      </c>
      <c r="X25" s="292" t="s">
        <v>21</v>
      </c>
      <c r="Y25" s="291" t="s">
        <v>1</v>
      </c>
      <c r="Z25" s="291" t="s">
        <v>2</v>
      </c>
      <c r="AA25" s="291" t="s">
        <v>242</v>
      </c>
      <c r="AB25" s="291" t="s">
        <v>2</v>
      </c>
      <c r="AC25" s="291" t="s">
        <v>2</v>
      </c>
      <c r="AD25" s="291" t="s">
        <v>2</v>
      </c>
      <c r="AE25" s="292" t="s">
        <v>21</v>
      </c>
      <c r="AF25" s="291" t="s">
        <v>1</v>
      </c>
      <c r="AG25" s="49" t="s">
        <v>2</v>
      </c>
      <c r="AH25" s="49" t="s">
        <v>2</v>
      </c>
      <c r="AI25" s="49" t="s">
        <v>2</v>
      </c>
      <c r="AJ25" s="49" t="s">
        <v>2</v>
      </c>
      <c r="AK25" s="193" t="s">
        <v>2</v>
      </c>
      <c r="AL25" s="307">
        <f t="shared" si="0"/>
        <v>0</v>
      </c>
      <c r="AM25" s="293">
        <f t="shared" si="1"/>
        <v>18</v>
      </c>
      <c r="AN25" s="294">
        <f t="shared" si="2"/>
        <v>13</v>
      </c>
      <c r="AO25" s="295">
        <f t="shared" si="3"/>
        <v>13</v>
      </c>
      <c r="AP25" s="10"/>
      <c r="AR25" s="652"/>
      <c r="AS25" s="652"/>
      <c r="AT25" s="653"/>
      <c r="AU25" s="653"/>
      <c r="AV25" s="203"/>
      <c r="AW25" s="157"/>
      <c r="AX25" s="157"/>
      <c r="AY25" s="298"/>
      <c r="AZ25" s="157"/>
      <c r="BA25" s="156"/>
      <c r="BB25" s="157"/>
      <c r="BC25" s="203"/>
      <c r="BD25" s="157"/>
      <c r="BE25" s="204"/>
      <c r="BF25" s="298"/>
      <c r="BG25" s="157"/>
      <c r="BH25" s="158"/>
      <c r="BI25" s="157"/>
      <c r="BJ25" s="298"/>
      <c r="BK25" s="157"/>
      <c r="BL25" s="204"/>
      <c r="BM25" s="156"/>
      <c r="BN25" s="157"/>
      <c r="BO25" s="298"/>
      <c r="BP25" s="157"/>
      <c r="BQ25" s="156"/>
      <c r="BR25" s="157"/>
      <c r="BS25" s="157"/>
      <c r="BT25" s="156"/>
      <c r="BU25" s="157"/>
      <c r="BV25" s="299"/>
      <c r="BW25" s="157"/>
      <c r="BX25" s="203"/>
      <c r="BY25" s="157"/>
      <c r="BZ25" s="157"/>
      <c r="CA25" s="159"/>
      <c r="CB25" s="161"/>
      <c r="CC25" s="160"/>
      <c r="CD25" s="160"/>
    </row>
    <row r="26" spans="1:83" ht="22.5" customHeight="1">
      <c r="A26" s="659"/>
      <c r="B26" s="660" t="s">
        <v>3</v>
      </c>
      <c r="C26" s="661"/>
      <c r="D26" s="661"/>
      <c r="E26" s="662"/>
      <c r="F26" s="297" t="s">
        <v>2</v>
      </c>
      <c r="G26" s="461">
        <f>COUNTIF(G6:G23,"D")</f>
        <v>15</v>
      </c>
      <c r="H26" s="240">
        <f t="shared" ref="H26:AK26" si="4">COUNTIF(H6:H23,"D")</f>
        <v>13</v>
      </c>
      <c r="I26" s="210">
        <f t="shared" si="4"/>
        <v>8</v>
      </c>
      <c r="J26" s="210">
        <f t="shared" si="4"/>
        <v>7</v>
      </c>
      <c r="K26" s="210">
        <f t="shared" si="4"/>
        <v>0</v>
      </c>
      <c r="L26" s="210">
        <f>COUNTIF(L6:L23,"D")</f>
        <v>0</v>
      </c>
      <c r="M26" s="210">
        <f t="shared" si="4"/>
        <v>7</v>
      </c>
      <c r="N26" s="210">
        <f t="shared" si="4"/>
        <v>7</v>
      </c>
      <c r="O26" s="210">
        <f t="shared" si="4"/>
        <v>8</v>
      </c>
      <c r="P26" s="210">
        <f t="shared" si="4"/>
        <v>14</v>
      </c>
      <c r="Q26" s="210">
        <f t="shared" si="4"/>
        <v>6</v>
      </c>
      <c r="R26" s="210">
        <f t="shared" si="4"/>
        <v>0</v>
      </c>
      <c r="S26" s="210">
        <f t="shared" si="4"/>
        <v>13</v>
      </c>
      <c r="T26" s="210">
        <f t="shared" si="4"/>
        <v>13</v>
      </c>
      <c r="U26" s="210">
        <f t="shared" si="4"/>
        <v>14</v>
      </c>
      <c r="V26" s="210">
        <f t="shared" si="4"/>
        <v>13</v>
      </c>
      <c r="W26" s="210">
        <f t="shared" si="4"/>
        <v>12</v>
      </c>
      <c r="X26" s="210">
        <f t="shared" si="4"/>
        <v>5</v>
      </c>
      <c r="Y26" s="210">
        <f t="shared" si="4"/>
        <v>0</v>
      </c>
      <c r="Z26" s="210">
        <f t="shared" si="4"/>
        <v>13</v>
      </c>
      <c r="AA26" s="210">
        <f t="shared" si="4"/>
        <v>13</v>
      </c>
      <c r="AB26" s="210">
        <f t="shared" si="4"/>
        <v>13</v>
      </c>
      <c r="AC26" s="210">
        <f t="shared" si="4"/>
        <v>14</v>
      </c>
      <c r="AD26" s="210">
        <f t="shared" si="4"/>
        <v>12</v>
      </c>
      <c r="AE26" s="210">
        <f t="shared" si="4"/>
        <v>6</v>
      </c>
      <c r="AF26" s="210">
        <f t="shared" si="4"/>
        <v>0</v>
      </c>
      <c r="AG26" s="210">
        <f t="shared" si="4"/>
        <v>14</v>
      </c>
      <c r="AH26" s="210">
        <f t="shared" si="4"/>
        <v>12</v>
      </c>
      <c r="AI26" s="210">
        <f t="shared" si="4"/>
        <v>12</v>
      </c>
      <c r="AJ26" s="210">
        <f t="shared" si="4"/>
        <v>13</v>
      </c>
      <c r="AK26" s="211">
        <f t="shared" si="4"/>
        <v>12</v>
      </c>
      <c r="AL26" s="175">
        <f t="shared" si="0"/>
        <v>0</v>
      </c>
      <c r="AM26" s="33">
        <f t="shared" si="1"/>
        <v>0</v>
      </c>
      <c r="AN26" s="34">
        <f t="shared" si="2"/>
        <v>0</v>
      </c>
      <c r="AO26" s="410">
        <f t="shared" si="3"/>
        <v>0</v>
      </c>
      <c r="AP26" s="10"/>
    </row>
    <row r="27" spans="1:83" ht="22.5" customHeight="1">
      <c r="A27" s="659"/>
      <c r="B27" s="663" t="s">
        <v>4</v>
      </c>
      <c r="C27" s="664"/>
      <c r="D27" s="664"/>
      <c r="E27" s="665"/>
      <c r="F27" s="2" t="s">
        <v>1</v>
      </c>
      <c r="G27" s="14">
        <f t="shared" ref="G27:AK27" si="5">COUNTIF(G6:G25,"●")</f>
        <v>1</v>
      </c>
      <c r="H27" s="14">
        <f t="shared" si="5"/>
        <v>3</v>
      </c>
      <c r="I27" s="14">
        <f t="shared" si="5"/>
        <v>9</v>
      </c>
      <c r="J27" s="14">
        <f t="shared" si="5"/>
        <v>11</v>
      </c>
      <c r="K27" s="14">
        <f t="shared" si="5"/>
        <v>18</v>
      </c>
      <c r="L27" s="14">
        <f t="shared" si="5"/>
        <v>18</v>
      </c>
      <c r="M27" s="14">
        <f t="shared" si="5"/>
        <v>11</v>
      </c>
      <c r="N27" s="14">
        <f t="shared" si="5"/>
        <v>10</v>
      </c>
      <c r="O27" s="14">
        <f t="shared" si="5"/>
        <v>10</v>
      </c>
      <c r="P27" s="14">
        <f t="shared" si="5"/>
        <v>3</v>
      </c>
      <c r="Q27" s="14">
        <f t="shared" si="5"/>
        <v>11</v>
      </c>
      <c r="R27" s="14">
        <f t="shared" si="5"/>
        <v>19</v>
      </c>
      <c r="S27" s="14">
        <f t="shared" si="5"/>
        <v>4</v>
      </c>
      <c r="T27" s="14">
        <f t="shared" si="5"/>
        <v>4</v>
      </c>
      <c r="U27" s="14">
        <f t="shared" si="5"/>
        <v>3</v>
      </c>
      <c r="V27" s="14">
        <f t="shared" si="5"/>
        <v>4</v>
      </c>
      <c r="W27" s="14">
        <f t="shared" si="5"/>
        <v>4</v>
      </c>
      <c r="X27" s="14">
        <f t="shared" si="5"/>
        <v>12</v>
      </c>
      <c r="Y27" s="14">
        <f t="shared" si="5"/>
        <v>18</v>
      </c>
      <c r="Z27" s="14">
        <f t="shared" si="5"/>
        <v>3</v>
      </c>
      <c r="AA27" s="14">
        <f t="shared" si="5"/>
        <v>3</v>
      </c>
      <c r="AB27" s="14">
        <f t="shared" si="5"/>
        <v>3</v>
      </c>
      <c r="AC27" s="14">
        <f t="shared" si="5"/>
        <v>2</v>
      </c>
      <c r="AD27" s="14">
        <f t="shared" si="5"/>
        <v>4</v>
      </c>
      <c r="AE27" s="14">
        <f t="shared" si="5"/>
        <v>12</v>
      </c>
      <c r="AF27" s="14">
        <f t="shared" si="5"/>
        <v>18</v>
      </c>
      <c r="AG27" s="14">
        <f t="shared" si="5"/>
        <v>2</v>
      </c>
      <c r="AH27" s="14">
        <f t="shared" si="5"/>
        <v>4</v>
      </c>
      <c r="AI27" s="14">
        <f t="shared" si="5"/>
        <v>4</v>
      </c>
      <c r="AJ27" s="14">
        <f t="shared" si="5"/>
        <v>3</v>
      </c>
      <c r="AK27" s="14">
        <f t="shared" si="5"/>
        <v>4</v>
      </c>
      <c r="AL27" s="666" t="s">
        <v>174</v>
      </c>
      <c r="AM27" s="667"/>
      <c r="AN27" s="667"/>
      <c r="AO27" s="668"/>
      <c r="AP27" s="10"/>
    </row>
    <row r="28" spans="1:83" ht="22.5" customHeight="1" thickBot="1">
      <c r="A28" s="743"/>
      <c r="B28" s="670" t="s">
        <v>5</v>
      </c>
      <c r="C28" s="671"/>
      <c r="D28" s="671"/>
      <c r="E28" s="672"/>
      <c r="F28" s="3" t="s">
        <v>0</v>
      </c>
      <c r="G28" s="14">
        <f t="shared" ref="G28:AK28" si="6">COUNTIF(G6:G25,"▲")</f>
        <v>0</v>
      </c>
      <c r="H28" s="14">
        <f t="shared" si="6"/>
        <v>0</v>
      </c>
      <c r="I28" s="14">
        <f t="shared" si="6"/>
        <v>0</v>
      </c>
      <c r="J28" s="14">
        <f t="shared" si="6"/>
        <v>0</v>
      </c>
      <c r="K28" s="14">
        <f t="shared" si="6"/>
        <v>0</v>
      </c>
      <c r="L28" s="14">
        <f t="shared" si="6"/>
        <v>0</v>
      </c>
      <c r="M28" s="14">
        <f t="shared" si="6"/>
        <v>0</v>
      </c>
      <c r="N28" s="14">
        <f t="shared" si="6"/>
        <v>0</v>
      </c>
      <c r="O28" s="14">
        <f t="shared" si="6"/>
        <v>0</v>
      </c>
      <c r="P28" s="14">
        <f t="shared" si="6"/>
        <v>0</v>
      </c>
      <c r="Q28" s="14">
        <f t="shared" si="6"/>
        <v>0</v>
      </c>
      <c r="R28" s="14">
        <f t="shared" si="6"/>
        <v>0</v>
      </c>
      <c r="S28" s="14">
        <f t="shared" si="6"/>
        <v>0</v>
      </c>
      <c r="T28" s="14">
        <f t="shared" si="6"/>
        <v>0</v>
      </c>
      <c r="U28" s="14">
        <f t="shared" si="6"/>
        <v>0</v>
      </c>
      <c r="V28" s="14">
        <f t="shared" si="6"/>
        <v>0</v>
      </c>
      <c r="W28" s="14">
        <f t="shared" si="6"/>
        <v>0</v>
      </c>
      <c r="X28" s="14">
        <f t="shared" si="6"/>
        <v>0</v>
      </c>
      <c r="Y28" s="14">
        <f t="shared" si="6"/>
        <v>0</v>
      </c>
      <c r="Z28" s="14">
        <f t="shared" si="6"/>
        <v>0</v>
      </c>
      <c r="AA28" s="14">
        <f t="shared" si="6"/>
        <v>0</v>
      </c>
      <c r="AB28" s="14">
        <f t="shared" si="6"/>
        <v>1</v>
      </c>
      <c r="AC28" s="14">
        <f t="shared" si="6"/>
        <v>0</v>
      </c>
      <c r="AD28" s="14">
        <f t="shared" si="6"/>
        <v>0</v>
      </c>
      <c r="AE28" s="14">
        <f t="shared" si="6"/>
        <v>0</v>
      </c>
      <c r="AF28" s="14">
        <f t="shared" si="6"/>
        <v>0</v>
      </c>
      <c r="AG28" s="14">
        <f t="shared" si="6"/>
        <v>0</v>
      </c>
      <c r="AH28" s="14">
        <f t="shared" si="6"/>
        <v>0</v>
      </c>
      <c r="AI28" s="14">
        <f t="shared" si="6"/>
        <v>0</v>
      </c>
      <c r="AJ28" s="14">
        <f t="shared" si="6"/>
        <v>0</v>
      </c>
      <c r="AK28" s="14">
        <f t="shared" si="6"/>
        <v>0</v>
      </c>
      <c r="AL28" s="52" t="s">
        <v>19</v>
      </c>
      <c r="AM28" s="649" t="s">
        <v>17</v>
      </c>
      <c r="AN28" s="650"/>
      <c r="AO28" s="651"/>
      <c r="AP28" s="10"/>
    </row>
    <row r="29" spans="1:83" ht="22.5" customHeight="1" thickTop="1" thickBot="1">
      <c r="A29" s="743"/>
      <c r="B29" s="654"/>
      <c r="C29" s="654"/>
      <c r="D29" s="654"/>
      <c r="E29" s="654"/>
      <c r="F29" s="654"/>
      <c r="G29" s="286"/>
      <c r="H29" s="651" t="s">
        <v>93</v>
      </c>
      <c r="I29" s="655"/>
      <c r="J29" s="655"/>
      <c r="K29" s="3" t="s">
        <v>0</v>
      </c>
      <c r="L29" s="649" t="s">
        <v>5</v>
      </c>
      <c r="M29" s="651"/>
      <c r="N29" s="5" t="s">
        <v>68</v>
      </c>
      <c r="O29" s="656" t="s">
        <v>177</v>
      </c>
      <c r="P29" s="657"/>
      <c r="Q29" s="658"/>
      <c r="R29" s="5" t="s">
        <v>91</v>
      </c>
      <c r="S29" s="656" t="s">
        <v>179</v>
      </c>
      <c r="T29" s="657"/>
      <c r="U29" s="658"/>
      <c r="V29" s="6" t="s">
        <v>56</v>
      </c>
      <c r="W29" s="644" t="s">
        <v>178</v>
      </c>
      <c r="X29" s="645"/>
      <c r="Y29" s="645"/>
      <c r="Z29" s="6" t="s">
        <v>105</v>
      </c>
      <c r="AA29" s="644" t="s">
        <v>180</v>
      </c>
      <c r="AB29" s="645"/>
      <c r="AC29" s="645"/>
      <c r="AD29" s="152" t="s">
        <v>1</v>
      </c>
      <c r="AE29" s="646" t="s">
        <v>175</v>
      </c>
      <c r="AF29" s="647"/>
      <c r="AG29" s="648"/>
      <c r="AH29" s="2" t="s">
        <v>21</v>
      </c>
      <c r="AI29" s="649" t="s">
        <v>4</v>
      </c>
      <c r="AJ29" s="650"/>
      <c r="AK29" s="651"/>
      <c r="AL29" s="13" t="s">
        <v>20</v>
      </c>
      <c r="AM29" s="649" t="s">
        <v>18</v>
      </c>
      <c r="AN29" s="650"/>
      <c r="AO29" s="651"/>
      <c r="AP29" s="10"/>
    </row>
    <row r="30" spans="1:83" customFormat="1" ht="19" thickTop="1">
      <c r="B30" s="8"/>
      <c r="C30" s="652"/>
      <c r="D30" s="652"/>
      <c r="E30" s="653"/>
      <c r="F30" s="653"/>
      <c r="G30" s="156"/>
      <c r="H30" s="158"/>
      <c r="I30" s="157"/>
      <c r="J30" s="158"/>
      <c r="K30" s="158"/>
      <c r="L30" s="158"/>
      <c r="M30" s="158"/>
      <c r="N30" s="203"/>
      <c r="O30" s="158"/>
      <c r="P30" s="158"/>
      <c r="Q30" s="203"/>
      <c r="R30" s="157"/>
      <c r="S30" s="157"/>
      <c r="T30" s="158"/>
      <c r="U30" s="158"/>
      <c r="V30" s="158"/>
      <c r="W30" s="158"/>
      <c r="X30" s="157"/>
      <c r="Y30" s="157"/>
      <c r="Z30" s="157"/>
      <c r="AA30" s="158"/>
      <c r="AB30" s="203"/>
      <c r="AC30" s="158"/>
      <c r="AD30" s="158"/>
      <c r="AE30" s="203"/>
      <c r="AF30" s="157"/>
      <c r="AG30" s="158"/>
      <c r="AH30" s="158"/>
      <c r="AI30" s="157"/>
      <c r="AJ30" s="158"/>
      <c r="AK30" s="158"/>
      <c r="AN30" s="9"/>
      <c r="AO30" s="11"/>
    </row>
    <row r="31" spans="1:83" s="11" customFormat="1" ht="18">
      <c r="A31" s="1"/>
      <c r="B31" s="652"/>
      <c r="C31" s="652"/>
      <c r="D31" s="652"/>
      <c r="E31" s="652"/>
      <c r="F31" s="653"/>
      <c r="G31" s="653"/>
      <c r="H31" s="156"/>
      <c r="I31" s="158"/>
      <c r="J31" s="157"/>
      <c r="K31" s="158"/>
      <c r="L31" s="158"/>
      <c r="M31" s="157"/>
      <c r="N31" s="157"/>
      <c r="O31" s="203"/>
      <c r="P31" s="158"/>
      <c r="Q31" s="157"/>
      <c r="R31" s="157"/>
      <c r="S31" s="158"/>
      <c r="T31" s="158"/>
      <c r="U31" s="218"/>
      <c r="V31" s="158"/>
      <c r="W31" s="158"/>
      <c r="X31" s="158"/>
      <c r="Y31" s="158"/>
      <c r="Z31" s="156"/>
      <c r="AA31" s="158"/>
      <c r="AB31" s="158"/>
      <c r="AC31" s="158"/>
      <c r="AD31" s="158"/>
      <c r="AE31" s="157"/>
      <c r="AF31" s="158"/>
      <c r="AG31" s="156"/>
      <c r="AH31" s="158"/>
      <c r="AI31" s="158"/>
      <c r="AJ31" s="158"/>
      <c r="AK31" s="158"/>
      <c r="AL31" s="156"/>
      <c r="AM31" s="160"/>
      <c r="AN31" s="160"/>
      <c r="AP31" s="12"/>
      <c r="AQ31" s="1"/>
      <c r="AR31" s="1"/>
      <c r="AS31" s="1"/>
      <c r="AT31" s="1"/>
    </row>
    <row r="32" spans="1:83" s="11" customFormat="1">
      <c r="A32" s="1"/>
      <c r="B32" s="1"/>
      <c r="C32" s="1"/>
      <c r="D32" s="1"/>
      <c r="E32" s="1"/>
      <c r="F32" s="1"/>
      <c r="G32"/>
      <c r="H32" s="1"/>
      <c r="I32" s="1"/>
      <c r="J32" s="8"/>
      <c r="K32" s="8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7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9"/>
      <c r="AP32" s="12"/>
      <c r="AQ32" s="1"/>
      <c r="AR32" s="1"/>
      <c r="AS32" s="1"/>
      <c r="AT32" s="1"/>
    </row>
    <row r="33" spans="1:46" s="11" customFormat="1" ht="18">
      <c r="A33" s="1"/>
      <c r="B33" s="1"/>
      <c r="C33" s="1"/>
      <c r="D33" s="1"/>
      <c r="E33" s="1"/>
      <c r="F33" s="1"/>
      <c r="G33" s="17"/>
      <c r="H33" s="17"/>
      <c r="I33" s="17"/>
      <c r="J33" s="17"/>
      <c r="K33" s="15"/>
      <c r="L33" s="17"/>
      <c r="M33" s="17"/>
      <c r="N33" s="17"/>
      <c r="O33" s="17"/>
      <c r="P33" s="17"/>
      <c r="Q33" s="17"/>
      <c r="R33" s="15"/>
      <c r="S33" s="17"/>
      <c r="T33" s="16"/>
      <c r="U33" s="16"/>
      <c r="V33" s="16"/>
      <c r="W33" s="16"/>
      <c r="X33" s="16"/>
      <c r="Y33" s="15"/>
      <c r="Z33" s="16"/>
      <c r="AA33" s="16"/>
      <c r="AB33" s="16"/>
      <c r="AC33" s="16"/>
      <c r="AD33" s="16"/>
      <c r="AE33" s="16"/>
      <c r="AF33" s="15" t="s">
        <v>41</v>
      </c>
      <c r="AG33" s="16"/>
      <c r="AH33" s="16"/>
      <c r="AI33" s="16"/>
      <c r="AJ33" s="16"/>
      <c r="AK33" s="16"/>
      <c r="AL33" s="1"/>
      <c r="AM33" s="1"/>
      <c r="AN33" s="9"/>
      <c r="AP33" s="12"/>
      <c r="AQ33" s="1"/>
      <c r="AR33" s="1"/>
      <c r="AS33" s="1"/>
      <c r="AT33" s="1"/>
    </row>
    <row r="34" spans="1:46" s="11" customFormat="1">
      <c r="A34" s="1"/>
      <c r="B34" s="1"/>
      <c r="C34" s="1"/>
      <c r="D34" s="1"/>
      <c r="E34" s="1"/>
      <c r="F34" s="1"/>
      <c r="G34"/>
      <c r="H34" s="1"/>
      <c r="I34" s="1"/>
      <c r="J34" s="8"/>
      <c r="K34" s="8"/>
      <c r="L34" s="1"/>
      <c r="M34" t="s">
        <v>27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7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9"/>
      <c r="AP34" s="12"/>
      <c r="AQ34" s="1"/>
      <c r="AR34" s="1"/>
      <c r="AS34" s="1"/>
      <c r="AT34" s="1"/>
    </row>
    <row r="35" spans="1:46" s="11" customFormat="1">
      <c r="A35" s="1"/>
      <c r="B35" s="1"/>
      <c r="C35" s="1"/>
      <c r="D35" s="1"/>
      <c r="E35" s="1"/>
      <c r="F35" s="1"/>
      <c r="G35"/>
      <c r="H35" s="1"/>
      <c r="I35" s="1"/>
      <c r="J35" s="8"/>
      <c r="K35" s="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7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9"/>
      <c r="AP35" s="12"/>
      <c r="AQ35" s="1"/>
      <c r="AR35" s="1"/>
      <c r="AS35" s="1"/>
      <c r="AT35" s="1"/>
    </row>
    <row r="36" spans="1:46" s="11" customFormat="1">
      <c r="A36" s="1"/>
      <c r="B36" s="1"/>
      <c r="C36" s="1"/>
      <c r="D36" s="1"/>
      <c r="E36" s="1"/>
      <c r="F36" s="1"/>
      <c r="G36"/>
      <c r="H36" s="1"/>
      <c r="I36" s="1"/>
      <c r="J36" s="8"/>
      <c r="K36" s="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7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9"/>
      <c r="AP36" s="12"/>
      <c r="AQ36" s="1"/>
      <c r="AR36" s="1"/>
      <c r="AS36" s="1"/>
      <c r="AT36" s="1"/>
    </row>
    <row r="37" spans="1:46" s="11" customFormat="1">
      <c r="A37" s="1"/>
      <c r="B37" s="1"/>
      <c r="C37" s="1"/>
      <c r="D37" s="1"/>
      <c r="E37" s="1"/>
      <c r="F37" s="1"/>
      <c r="G37"/>
      <c r="H37" s="1"/>
      <c r="I37" s="1"/>
      <c r="J37" s="8"/>
      <c r="K37" s="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7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9"/>
      <c r="AP37" s="12"/>
      <c r="AQ37" s="1"/>
      <c r="AR37" s="1"/>
      <c r="AS37" s="1"/>
      <c r="AT37" s="1"/>
    </row>
    <row r="38" spans="1:46" s="11" customFormat="1">
      <c r="A38" s="1"/>
      <c r="B38" s="1"/>
      <c r="C38" s="1"/>
      <c r="D38" s="1"/>
      <c r="E38" s="1"/>
      <c r="F38" s="1"/>
      <c r="G38"/>
      <c r="H38" s="1"/>
      <c r="I38" s="1"/>
      <c r="J38" s="8"/>
      <c r="K38" s="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7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9"/>
      <c r="AP38" s="12"/>
      <c r="AQ38" s="1"/>
      <c r="AR38" s="1"/>
      <c r="AS38" s="1"/>
      <c r="AT38" s="1"/>
    </row>
    <row r="39" spans="1:46" s="11" customFormat="1">
      <c r="A39" s="1"/>
      <c r="B39" s="1"/>
      <c r="C39" s="1"/>
      <c r="D39" s="1"/>
      <c r="E39" s="1"/>
      <c r="F39" s="1"/>
      <c r="G39"/>
      <c r="H39" s="1"/>
      <c r="I39" s="1"/>
      <c r="J39" s="8"/>
      <c r="K39" s="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7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9"/>
      <c r="AP39" s="12"/>
      <c r="AQ39" s="1"/>
      <c r="AR39" s="1"/>
      <c r="AS39" s="1"/>
      <c r="AT39" s="1"/>
    </row>
    <row r="40" spans="1:46" s="11" customFormat="1">
      <c r="A40" s="1"/>
      <c r="B40" s="1"/>
      <c r="C40" s="1"/>
      <c r="D40" s="1"/>
      <c r="E40" s="1"/>
      <c r="F40" s="1"/>
      <c r="G40"/>
      <c r="H40" s="1"/>
      <c r="I40" s="1"/>
      <c r="J40" s="8"/>
      <c r="K40" s="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7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9"/>
      <c r="AP40" s="12"/>
      <c r="AQ40" s="1"/>
      <c r="AR40" s="1"/>
      <c r="AS40" s="1"/>
      <c r="AT40" s="1"/>
    </row>
    <row r="41" spans="1:46" s="11" customFormat="1">
      <c r="A41" s="1"/>
      <c r="B41" s="1"/>
      <c r="C41" s="1"/>
      <c r="D41" s="1"/>
      <c r="E41" s="1"/>
      <c r="F41" s="1"/>
      <c r="G41"/>
      <c r="H41" s="1"/>
      <c r="I41" s="1"/>
      <c r="J41" s="8"/>
      <c r="K41" s="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7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9"/>
      <c r="AP41" s="12"/>
      <c r="AQ41" s="1"/>
      <c r="AR41" s="1"/>
      <c r="AS41" s="1"/>
      <c r="AT41" s="1"/>
    </row>
    <row r="42" spans="1:46" s="11" customFormat="1">
      <c r="A42" s="1"/>
      <c r="B42" s="1"/>
      <c r="C42" s="1"/>
      <c r="D42" s="1"/>
      <c r="E42" s="1"/>
      <c r="F42" s="1"/>
      <c r="G42"/>
      <c r="H42" s="1"/>
      <c r="I42" s="1"/>
      <c r="J42" s="8"/>
      <c r="K42" s="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7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9"/>
      <c r="AP42" s="12"/>
      <c r="AQ42" s="1"/>
      <c r="AR42" s="1"/>
      <c r="AS42" s="1"/>
      <c r="AT42" s="1"/>
    </row>
    <row r="43" spans="1:46" s="11" customFormat="1">
      <c r="A43" s="1"/>
      <c r="B43" s="1"/>
      <c r="C43" s="1"/>
      <c r="D43" s="1"/>
      <c r="E43" s="1"/>
      <c r="F43" s="1"/>
      <c r="G43"/>
      <c r="H43" s="1"/>
      <c r="I43" s="1"/>
      <c r="J43" s="8"/>
      <c r="K43" s="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7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9"/>
      <c r="AP43" s="12"/>
      <c r="AQ43" s="1"/>
      <c r="AR43" s="1"/>
      <c r="AS43" s="1"/>
      <c r="AT43" s="1"/>
    </row>
    <row r="44" spans="1:46" s="11" customFormat="1">
      <c r="A44" s="1"/>
      <c r="B44" s="1"/>
      <c r="C44" s="1"/>
      <c r="D44" s="1"/>
      <c r="E44" s="1"/>
      <c r="F44" s="1"/>
      <c r="G44"/>
      <c r="H44" s="1"/>
      <c r="I44" s="1"/>
      <c r="J44" s="8"/>
      <c r="K44" s="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7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9"/>
      <c r="AP44" s="12"/>
      <c r="AQ44" s="1"/>
      <c r="AR44" s="1"/>
      <c r="AS44" s="1"/>
      <c r="AT44" s="1"/>
    </row>
    <row r="45" spans="1:46" s="11" customFormat="1">
      <c r="A45" s="1"/>
      <c r="B45" s="1"/>
      <c r="C45" s="1"/>
      <c r="D45" s="1"/>
      <c r="E45" s="1"/>
      <c r="F45" s="1"/>
      <c r="G45"/>
      <c r="H45" s="1"/>
      <c r="I45" s="1"/>
      <c r="J45" s="8"/>
      <c r="K45" s="8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7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9"/>
      <c r="AP45" s="12"/>
      <c r="AQ45" s="1"/>
      <c r="AR45" s="1"/>
      <c r="AS45" s="1"/>
      <c r="AT45" s="1"/>
    </row>
    <row r="46" spans="1:46" s="11" customFormat="1">
      <c r="A46" s="1"/>
      <c r="B46" s="1"/>
      <c r="C46" s="1"/>
      <c r="D46" s="1"/>
      <c r="E46" s="1"/>
      <c r="F46" s="1"/>
      <c r="G46"/>
      <c r="H46" s="1"/>
      <c r="I46" s="1"/>
      <c r="J46" s="8"/>
      <c r="K46" s="8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7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9"/>
      <c r="AP46" s="12"/>
      <c r="AQ46" s="1"/>
      <c r="AR46" s="1"/>
      <c r="AS46" s="1"/>
      <c r="AT46" s="1"/>
    </row>
    <row r="47" spans="1:46">
      <c r="Y47" s="1"/>
      <c r="AD47" s="1"/>
    </row>
    <row r="48" spans="1:46" ht="40">
      <c r="R48" s="125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1:D11"/>
    <mergeCell ref="E11:F11"/>
    <mergeCell ref="C12:D12"/>
    <mergeCell ref="E12:F12"/>
    <mergeCell ref="C13:D13"/>
    <mergeCell ref="E13:F13"/>
    <mergeCell ref="C14:D14"/>
    <mergeCell ref="E14:F14"/>
    <mergeCell ref="E10:F10"/>
    <mergeCell ref="C10:D10"/>
    <mergeCell ref="AR14:AS14"/>
    <mergeCell ref="C15:D15"/>
    <mergeCell ref="E15:F15"/>
    <mergeCell ref="C16:D16"/>
    <mergeCell ref="E16:F16"/>
    <mergeCell ref="C17:D17"/>
    <mergeCell ref="E17:F17"/>
    <mergeCell ref="AQ17:AR17"/>
    <mergeCell ref="AS17:AT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AU24:AV24"/>
    <mergeCell ref="C21:D21"/>
    <mergeCell ref="E21:F21"/>
    <mergeCell ref="AQ21:AR21"/>
    <mergeCell ref="AS21:AT21"/>
    <mergeCell ref="C22:D22"/>
    <mergeCell ref="E22:F22"/>
    <mergeCell ref="AR22:AS22"/>
    <mergeCell ref="C23:D23"/>
    <mergeCell ref="E23:F23"/>
    <mergeCell ref="C24:D24"/>
    <mergeCell ref="E24:F24"/>
    <mergeCell ref="AS24:AT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131" priority="11" operator="equal">
      <formula>8</formula>
    </cfRule>
    <cfRule type="cellIs" dxfId="130" priority="12" operator="equal">
      <formula>0</formula>
    </cfRule>
  </conditionalFormatting>
  <conditionalFormatting sqref="BZ20:BZ21">
    <cfRule type="cellIs" dxfId="129" priority="5" operator="equal">
      <formula>8</formula>
    </cfRule>
    <cfRule type="cellIs" dxfId="128" priority="6" operator="equal">
      <formula>0</formula>
    </cfRule>
  </conditionalFormatting>
  <conditionalFormatting sqref="CA19">
    <cfRule type="cellIs" dxfId="127" priority="1" operator="equal">
      <formula>8</formula>
    </cfRule>
    <cfRule type="cellIs" dxfId="126" priority="2" operator="equal">
      <formula>0</formula>
    </cfRule>
  </conditionalFormatting>
  <conditionalFormatting sqref="CA25">
    <cfRule type="cellIs" dxfId="125" priority="3" operator="equal">
      <formula>8</formula>
    </cfRule>
    <cfRule type="cellIs" dxfId="124" priority="4" operator="equal">
      <formula>0</formula>
    </cfRule>
  </conditionalFormatting>
  <conditionalFormatting sqref="CB24">
    <cfRule type="cellIs" dxfId="123" priority="7" operator="equal">
      <formula>8</formula>
    </cfRule>
    <cfRule type="cellIs" dxfId="122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8" customWidth="1"/>
    <col min="12" max="24" width="3.6640625" style="1" customWidth="1"/>
    <col min="25" max="25" width="3.6640625" style="38" customWidth="1"/>
    <col min="26" max="28" width="3.6640625" style="1" customWidth="1"/>
    <col min="29" max="29" width="3.6640625" style="7" customWidth="1"/>
    <col min="30" max="30" width="3.6640625" style="41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9" customWidth="1"/>
    <col min="41" max="41" width="5.1640625" style="11" customWidth="1"/>
    <col min="42" max="42" width="9" style="12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18"/>
      <c r="B1" s="729" t="s">
        <v>318</v>
      </c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  <c r="AA1" s="729"/>
      <c r="AB1" s="729"/>
      <c r="AC1" s="729"/>
      <c r="AD1" s="729"/>
      <c r="AE1" s="729"/>
      <c r="AF1" s="729"/>
      <c r="AG1" s="729"/>
      <c r="AH1" s="729"/>
      <c r="AI1" s="729"/>
      <c r="AJ1" s="729"/>
      <c r="AK1" s="729"/>
      <c r="AL1" s="729"/>
      <c r="AM1" s="729"/>
      <c r="AN1" s="729"/>
      <c r="AO1" s="729"/>
    </row>
    <row r="2" spans="1:46" ht="22.5" customHeight="1">
      <c r="A2" s="1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29"/>
      <c r="AB2" s="729"/>
      <c r="AC2" s="729"/>
      <c r="AD2" s="729"/>
      <c r="AE2" s="729"/>
      <c r="AF2" s="729"/>
      <c r="AG2" s="729"/>
      <c r="AH2" s="729"/>
      <c r="AI2" s="729"/>
      <c r="AJ2" s="729"/>
      <c r="AK2" s="729"/>
      <c r="AL2" s="729"/>
      <c r="AM2" s="729"/>
      <c r="AN2" s="729"/>
      <c r="AO2" s="729"/>
    </row>
    <row r="3" spans="1:46" ht="22.5" customHeight="1">
      <c r="A3" s="18"/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R3" s="730"/>
      <c r="S3" s="730"/>
      <c r="T3" s="730"/>
      <c r="U3" s="730"/>
      <c r="V3" s="730"/>
      <c r="W3" s="730"/>
      <c r="X3" s="730"/>
      <c r="Y3" s="730"/>
      <c r="Z3" s="730"/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</row>
    <row r="4" spans="1:46" ht="25" customHeight="1">
      <c r="B4" s="731"/>
      <c r="C4" s="733" t="s">
        <v>6</v>
      </c>
      <c r="D4" s="734"/>
      <c r="E4" s="734"/>
      <c r="F4" s="735"/>
      <c r="G4" s="308">
        <v>1</v>
      </c>
      <c r="H4" s="51">
        <v>2</v>
      </c>
      <c r="I4" s="37">
        <v>3</v>
      </c>
      <c r="J4" s="37">
        <v>4</v>
      </c>
      <c r="K4" s="37">
        <v>5</v>
      </c>
      <c r="L4" s="37">
        <v>6</v>
      </c>
      <c r="M4" s="37">
        <v>7</v>
      </c>
      <c r="N4" s="127">
        <v>8</v>
      </c>
      <c r="O4" s="51">
        <v>9</v>
      </c>
      <c r="P4" s="37">
        <v>10</v>
      </c>
      <c r="Q4" s="37">
        <v>11</v>
      </c>
      <c r="R4" s="37">
        <v>12</v>
      </c>
      <c r="S4" s="37">
        <v>13</v>
      </c>
      <c r="T4" s="37">
        <v>14</v>
      </c>
      <c r="U4" s="127">
        <v>15</v>
      </c>
      <c r="V4" s="51">
        <v>16</v>
      </c>
      <c r="W4" s="37">
        <v>17</v>
      </c>
      <c r="X4" s="37">
        <v>18</v>
      </c>
      <c r="Y4" s="37">
        <v>19</v>
      </c>
      <c r="Z4" s="37">
        <v>20</v>
      </c>
      <c r="AA4" s="37">
        <v>21</v>
      </c>
      <c r="AB4" s="127">
        <v>22</v>
      </c>
      <c r="AC4" s="51">
        <v>23</v>
      </c>
      <c r="AD4" s="37">
        <v>24</v>
      </c>
      <c r="AE4" s="37">
        <v>25</v>
      </c>
      <c r="AF4" s="37">
        <v>26</v>
      </c>
      <c r="AG4" s="37">
        <v>27</v>
      </c>
      <c r="AH4" s="37">
        <v>28</v>
      </c>
      <c r="AI4" s="127">
        <v>29</v>
      </c>
      <c r="AJ4" s="51">
        <v>30</v>
      </c>
      <c r="AK4" s="309">
        <v>31</v>
      </c>
      <c r="AL4" s="736" t="s">
        <v>35</v>
      </c>
      <c r="AM4" s="737"/>
      <c r="AN4" s="737"/>
      <c r="AO4" s="738"/>
      <c r="AP4" s="10"/>
    </row>
    <row r="5" spans="1:46" ht="25" customHeight="1">
      <c r="B5" s="732"/>
      <c r="C5" s="739" t="s">
        <v>7</v>
      </c>
      <c r="D5" s="740"/>
      <c r="E5" s="741" t="s">
        <v>8</v>
      </c>
      <c r="F5" s="742"/>
      <c r="G5" s="209" t="s">
        <v>67</v>
      </c>
      <c r="H5" s="188" t="s">
        <v>69</v>
      </c>
      <c r="I5" s="185" t="s">
        <v>70</v>
      </c>
      <c r="J5" s="252" t="s">
        <v>15</v>
      </c>
      <c r="K5" s="252" t="s">
        <v>9</v>
      </c>
      <c r="L5" s="185" t="s">
        <v>10</v>
      </c>
      <c r="M5" s="252" t="s">
        <v>11</v>
      </c>
      <c r="N5" s="186" t="s">
        <v>12</v>
      </c>
      <c r="O5" s="188" t="s">
        <v>13</v>
      </c>
      <c r="P5" s="252" t="s">
        <v>14</v>
      </c>
      <c r="Q5" s="252" t="s">
        <v>15</v>
      </c>
      <c r="R5" s="185" t="s">
        <v>9</v>
      </c>
      <c r="S5" s="252" t="s">
        <v>10</v>
      </c>
      <c r="T5" s="252" t="s">
        <v>11</v>
      </c>
      <c r="U5" s="186" t="s">
        <v>12</v>
      </c>
      <c r="V5" s="188" t="s">
        <v>13</v>
      </c>
      <c r="W5" s="252" t="s">
        <v>14</v>
      </c>
      <c r="X5" s="185" t="s">
        <v>15</v>
      </c>
      <c r="Y5" s="252" t="s">
        <v>9</v>
      </c>
      <c r="Z5" s="252" t="s">
        <v>10</v>
      </c>
      <c r="AA5" s="185" t="s">
        <v>11</v>
      </c>
      <c r="AB5" s="186" t="s">
        <v>12</v>
      </c>
      <c r="AC5" s="188" t="s">
        <v>13</v>
      </c>
      <c r="AD5" s="185" t="s">
        <v>14</v>
      </c>
      <c r="AE5" s="252" t="s">
        <v>15</v>
      </c>
      <c r="AF5" s="252" t="s">
        <v>9</v>
      </c>
      <c r="AG5" s="185" t="s">
        <v>10</v>
      </c>
      <c r="AH5" s="252" t="s">
        <v>11</v>
      </c>
      <c r="AI5" s="186" t="s">
        <v>12</v>
      </c>
      <c r="AJ5" s="188" t="s">
        <v>13</v>
      </c>
      <c r="AK5" s="420" t="s">
        <v>14</v>
      </c>
      <c r="AL5" s="3" t="s">
        <v>0</v>
      </c>
      <c r="AM5" s="35" t="s">
        <v>2</v>
      </c>
      <c r="AN5" s="253" t="s">
        <v>1</v>
      </c>
      <c r="AO5" s="36" t="s">
        <v>16</v>
      </c>
      <c r="AP5" s="10"/>
    </row>
    <row r="6" spans="1:46" ht="22" customHeight="1">
      <c r="B6" s="353">
        <v>1</v>
      </c>
      <c r="C6" s="718" t="s">
        <v>191</v>
      </c>
      <c r="D6" s="719"/>
      <c r="E6" s="720" t="s">
        <v>34</v>
      </c>
      <c r="F6" s="721"/>
      <c r="G6" s="128" t="s">
        <v>340</v>
      </c>
      <c r="H6" s="39" t="s">
        <v>1</v>
      </c>
      <c r="I6" s="39" t="s">
        <v>339</v>
      </c>
      <c r="J6" s="39" t="s">
        <v>332</v>
      </c>
      <c r="K6" s="39" t="s">
        <v>338</v>
      </c>
      <c r="L6" s="39" t="s">
        <v>338</v>
      </c>
      <c r="M6" s="39" t="s">
        <v>339</v>
      </c>
      <c r="N6" s="48" t="s">
        <v>326</v>
      </c>
      <c r="O6" s="39" t="s">
        <v>1</v>
      </c>
      <c r="P6" s="39" t="s">
        <v>339</v>
      </c>
      <c r="Q6" s="39" t="s">
        <v>339</v>
      </c>
      <c r="R6" s="39" t="s">
        <v>339</v>
      </c>
      <c r="S6" s="39" t="s">
        <v>338</v>
      </c>
      <c r="T6" s="39" t="s">
        <v>339</v>
      </c>
      <c r="U6" s="48" t="s">
        <v>1</v>
      </c>
      <c r="V6" s="39" t="s">
        <v>1</v>
      </c>
      <c r="W6" s="48" t="s">
        <v>1</v>
      </c>
      <c r="X6" s="39" t="s">
        <v>339</v>
      </c>
      <c r="Y6" s="39" t="s">
        <v>338</v>
      </c>
      <c r="Z6" s="39" t="s">
        <v>339</v>
      </c>
      <c r="AA6" s="39" t="s">
        <v>339</v>
      </c>
      <c r="AB6" s="48" t="s">
        <v>331</v>
      </c>
      <c r="AC6" s="39" t="s">
        <v>1</v>
      </c>
      <c r="AD6" s="39" t="s">
        <v>339</v>
      </c>
      <c r="AE6" s="39" t="s">
        <v>339</v>
      </c>
      <c r="AF6" s="39" t="s">
        <v>339</v>
      </c>
      <c r="AG6" s="39" t="s">
        <v>339</v>
      </c>
      <c r="AH6" s="39" t="s">
        <v>339</v>
      </c>
      <c r="AI6" s="48" t="s">
        <v>21</v>
      </c>
      <c r="AJ6" s="88" t="s">
        <v>1</v>
      </c>
      <c r="AK6" s="228"/>
      <c r="AL6" s="267">
        <f t="shared" ref="AL6:AL26" si="0">COUNTIF(G6:AK6,"▲")</f>
        <v>0</v>
      </c>
      <c r="AM6" s="21">
        <f t="shared" ref="AM6:AM26" si="1">COUNTIF(G6:AK6,"D")</f>
        <v>19</v>
      </c>
      <c r="AN6" s="22">
        <f t="shared" ref="AN6:AN26" si="2">COUNTIF(G6:AK6,"●")</f>
        <v>11</v>
      </c>
      <c r="AO6" s="27">
        <f t="shared" ref="AO6:AO26" si="3">AN6+AL6</f>
        <v>11</v>
      </c>
      <c r="AP6" s="10"/>
    </row>
    <row r="7" spans="1:46" ht="21.75" customHeight="1">
      <c r="B7" s="54">
        <v>2</v>
      </c>
      <c r="C7" s="710" t="s">
        <v>22</v>
      </c>
      <c r="D7" s="722"/>
      <c r="E7" s="723" t="s">
        <v>23</v>
      </c>
      <c r="F7" s="724"/>
      <c r="G7" s="142" t="s">
        <v>322</v>
      </c>
      <c r="H7" s="93" t="s">
        <v>21</v>
      </c>
      <c r="I7" s="194" t="s">
        <v>348</v>
      </c>
      <c r="J7" s="43" t="s">
        <v>332</v>
      </c>
      <c r="K7" s="93" t="s">
        <v>339</v>
      </c>
      <c r="L7" s="93" t="s">
        <v>338</v>
      </c>
      <c r="M7" s="93" t="s">
        <v>339</v>
      </c>
      <c r="N7" s="50" t="s">
        <v>21</v>
      </c>
      <c r="O7" s="93" t="s">
        <v>21</v>
      </c>
      <c r="P7" s="43" t="s">
        <v>2</v>
      </c>
      <c r="Q7" s="43" t="s">
        <v>339</v>
      </c>
      <c r="R7" s="93" t="s">
        <v>339</v>
      </c>
      <c r="S7" s="43" t="s">
        <v>339</v>
      </c>
      <c r="T7" s="43" t="s">
        <v>339</v>
      </c>
      <c r="U7" s="43" t="s">
        <v>101</v>
      </c>
      <c r="V7" s="93" t="s">
        <v>21</v>
      </c>
      <c r="W7" s="50" t="s">
        <v>21</v>
      </c>
      <c r="X7" s="43" t="s">
        <v>339</v>
      </c>
      <c r="Y7" s="93" t="s">
        <v>339</v>
      </c>
      <c r="Z7" s="43" t="s">
        <v>339</v>
      </c>
      <c r="AA7" s="93" t="s">
        <v>338</v>
      </c>
      <c r="AB7" s="93" t="s">
        <v>109</v>
      </c>
      <c r="AC7" s="93" t="s">
        <v>21</v>
      </c>
      <c r="AD7" s="43" t="s">
        <v>339</v>
      </c>
      <c r="AE7" s="43" t="s">
        <v>339</v>
      </c>
      <c r="AF7" s="141" t="s">
        <v>21</v>
      </c>
      <c r="AG7" s="93" t="s">
        <v>101</v>
      </c>
      <c r="AH7" s="93" t="s">
        <v>339</v>
      </c>
      <c r="AI7" s="50" t="s">
        <v>21</v>
      </c>
      <c r="AJ7" s="95" t="s">
        <v>21</v>
      </c>
      <c r="AK7" s="192"/>
      <c r="AL7" s="369">
        <f t="shared" si="0"/>
        <v>0</v>
      </c>
      <c r="AM7" s="260">
        <f t="shared" si="1"/>
        <v>20</v>
      </c>
      <c r="AN7" s="32">
        <f t="shared" si="2"/>
        <v>10</v>
      </c>
      <c r="AO7" s="167">
        <f t="shared" si="3"/>
        <v>10</v>
      </c>
      <c r="AP7" s="10"/>
      <c r="AT7"/>
    </row>
    <row r="8" spans="1:46" ht="22" customHeight="1">
      <c r="B8" s="353">
        <v>3</v>
      </c>
      <c r="C8" s="725" t="s">
        <v>36</v>
      </c>
      <c r="D8" s="726"/>
      <c r="E8" s="727" t="s">
        <v>37</v>
      </c>
      <c r="F8" s="728"/>
      <c r="G8" s="76" t="s">
        <v>323</v>
      </c>
      <c r="H8" s="71" t="s">
        <v>21</v>
      </c>
      <c r="I8" s="75" t="s">
        <v>357</v>
      </c>
      <c r="J8" s="75" t="s">
        <v>332</v>
      </c>
      <c r="K8" s="75" t="s">
        <v>369</v>
      </c>
      <c r="L8" s="233" t="s">
        <v>353</v>
      </c>
      <c r="M8" s="75" t="s">
        <v>357</v>
      </c>
      <c r="N8" s="75" t="s">
        <v>349</v>
      </c>
      <c r="O8" s="71" t="s">
        <v>21</v>
      </c>
      <c r="P8" s="75" t="s">
        <v>360</v>
      </c>
      <c r="Q8" s="233" t="s">
        <v>163</v>
      </c>
      <c r="R8" s="75" t="s">
        <v>361</v>
      </c>
      <c r="S8" s="75" t="s">
        <v>173</v>
      </c>
      <c r="T8" s="75" t="s">
        <v>360</v>
      </c>
      <c r="U8" s="75" t="s">
        <v>350</v>
      </c>
      <c r="V8" s="71" t="s">
        <v>21</v>
      </c>
      <c r="W8" s="39" t="s">
        <v>360</v>
      </c>
      <c r="X8" s="75" t="s">
        <v>360</v>
      </c>
      <c r="Y8" s="75" t="s">
        <v>357</v>
      </c>
      <c r="Z8" s="233" t="s">
        <v>356</v>
      </c>
      <c r="AA8" s="75" t="s">
        <v>357</v>
      </c>
      <c r="AB8" s="75" t="s">
        <v>350</v>
      </c>
      <c r="AC8" s="71" t="s">
        <v>21</v>
      </c>
      <c r="AD8" s="75" t="s">
        <v>357</v>
      </c>
      <c r="AE8" s="75" t="s">
        <v>135</v>
      </c>
      <c r="AF8" s="233" t="s">
        <v>21</v>
      </c>
      <c r="AG8" s="233" t="s">
        <v>364</v>
      </c>
      <c r="AH8" s="75" t="s">
        <v>360</v>
      </c>
      <c r="AI8" s="75" t="s">
        <v>350</v>
      </c>
      <c r="AJ8" s="247" t="s">
        <v>21</v>
      </c>
      <c r="AK8" s="476"/>
      <c r="AL8" s="267">
        <f t="shared" si="0"/>
        <v>0</v>
      </c>
      <c r="AM8" s="21">
        <f t="shared" si="1"/>
        <v>20</v>
      </c>
      <c r="AN8" s="22">
        <f t="shared" si="2"/>
        <v>10</v>
      </c>
      <c r="AO8" s="27">
        <f t="shared" si="3"/>
        <v>10</v>
      </c>
      <c r="AP8" s="10"/>
      <c r="AR8"/>
    </row>
    <row r="9" spans="1:46" ht="22" hidden="1" customHeight="1">
      <c r="A9" s="701"/>
      <c r="B9" s="20">
        <v>4</v>
      </c>
      <c r="C9" s="781"/>
      <c r="D9" s="782"/>
      <c r="E9" s="704"/>
      <c r="F9" s="705"/>
      <c r="G9" s="58"/>
      <c r="H9" s="59" t="s">
        <v>21</v>
      </c>
      <c r="I9" s="57"/>
      <c r="J9" s="114"/>
      <c r="K9" s="59"/>
      <c r="L9" s="59"/>
      <c r="M9" s="114"/>
      <c r="N9" s="117"/>
      <c r="O9" s="59" t="s">
        <v>21</v>
      </c>
      <c r="P9" s="91"/>
      <c r="Q9" s="40"/>
      <c r="R9" s="59"/>
      <c r="S9" s="40"/>
      <c r="T9" s="59"/>
      <c r="U9" s="57"/>
      <c r="V9" s="59" t="s">
        <v>21</v>
      </c>
      <c r="W9" s="40"/>
      <c r="X9" s="57"/>
      <c r="Y9" s="59"/>
      <c r="Z9" s="40"/>
      <c r="AA9" s="59"/>
      <c r="AB9" s="40"/>
      <c r="AC9" s="59" t="s">
        <v>21</v>
      </c>
      <c r="AD9" s="114"/>
      <c r="AE9" s="59"/>
      <c r="AF9" s="59"/>
      <c r="AG9" s="57"/>
      <c r="AH9" s="59"/>
      <c r="AI9" s="40"/>
      <c r="AJ9" s="147" t="s">
        <v>21</v>
      </c>
      <c r="AK9" s="189"/>
      <c r="AL9" s="268"/>
      <c r="AM9" s="25"/>
      <c r="AN9" s="26"/>
      <c r="AO9" s="29"/>
      <c r="AP9" s="10"/>
      <c r="AR9" t="s">
        <v>168</v>
      </c>
      <c r="AS9" t="s">
        <v>169</v>
      </c>
      <c r="AT9" t="s">
        <v>170</v>
      </c>
    </row>
    <row r="10" spans="1:46" ht="22" customHeight="1">
      <c r="A10" s="701"/>
      <c r="B10" s="20">
        <v>4</v>
      </c>
      <c r="C10" s="702" t="s">
        <v>46</v>
      </c>
      <c r="D10" s="703"/>
      <c r="E10" s="704" t="s">
        <v>24</v>
      </c>
      <c r="F10" s="705"/>
      <c r="G10" s="154" t="s">
        <v>324</v>
      </c>
      <c r="H10" s="40" t="s">
        <v>21</v>
      </c>
      <c r="I10" s="40" t="s">
        <v>323</v>
      </c>
      <c r="J10" s="59" t="s">
        <v>335</v>
      </c>
      <c r="K10" s="59" t="s">
        <v>323</v>
      </c>
      <c r="L10" s="59" t="s">
        <v>319</v>
      </c>
      <c r="M10" s="153" t="s">
        <v>21</v>
      </c>
      <c r="N10" s="40" t="s">
        <v>338</v>
      </c>
      <c r="O10" s="40" t="s">
        <v>21</v>
      </c>
      <c r="P10" s="40" t="s">
        <v>360</v>
      </c>
      <c r="Q10" s="40" t="s">
        <v>357</v>
      </c>
      <c r="R10" s="59" t="s">
        <v>357</v>
      </c>
      <c r="S10" s="40" t="s">
        <v>357</v>
      </c>
      <c r="T10" s="114" t="s">
        <v>359</v>
      </c>
      <c r="U10" s="40" t="s">
        <v>354</v>
      </c>
      <c r="V10" s="40" t="s">
        <v>21</v>
      </c>
      <c r="W10" s="40" t="s">
        <v>357</v>
      </c>
      <c r="X10" s="40" t="s">
        <v>357</v>
      </c>
      <c r="Y10" s="59" t="s">
        <v>357</v>
      </c>
      <c r="Z10" s="40" t="s">
        <v>360</v>
      </c>
      <c r="AA10" s="59" t="s">
        <v>360</v>
      </c>
      <c r="AB10" s="57" t="s">
        <v>21</v>
      </c>
      <c r="AC10" s="40" t="s">
        <v>21</v>
      </c>
      <c r="AD10" s="59" t="s">
        <v>360</v>
      </c>
      <c r="AE10" s="59" t="s">
        <v>357</v>
      </c>
      <c r="AF10" s="59" t="s">
        <v>360</v>
      </c>
      <c r="AG10" s="40" t="s">
        <v>357</v>
      </c>
      <c r="AH10" s="59" t="s">
        <v>361</v>
      </c>
      <c r="AI10" s="57" t="s">
        <v>21</v>
      </c>
      <c r="AJ10" s="65" t="s">
        <v>21</v>
      </c>
      <c r="AK10" s="189"/>
      <c r="AL10" s="268">
        <f t="shared" si="0"/>
        <v>0</v>
      </c>
      <c r="AM10" s="25">
        <f t="shared" si="1"/>
        <v>20</v>
      </c>
      <c r="AN10" s="26">
        <f t="shared" si="2"/>
        <v>10</v>
      </c>
      <c r="AO10" s="29">
        <f t="shared" si="3"/>
        <v>10</v>
      </c>
      <c r="AP10" s="10"/>
      <c r="AR10"/>
      <c r="AS10"/>
      <c r="AT10"/>
    </row>
    <row r="11" spans="1:46" ht="22" customHeight="1">
      <c r="A11" s="701"/>
      <c r="B11" s="20">
        <v>5</v>
      </c>
      <c r="C11" s="706" t="s">
        <v>167</v>
      </c>
      <c r="D11" s="707"/>
      <c r="E11" s="698" t="s">
        <v>24</v>
      </c>
      <c r="F11" s="699"/>
      <c r="G11" s="70" t="s">
        <v>323</v>
      </c>
      <c r="H11" s="59" t="s">
        <v>21</v>
      </c>
      <c r="I11" s="40" t="s">
        <v>360</v>
      </c>
      <c r="J11" s="40" t="s">
        <v>332</v>
      </c>
      <c r="K11" s="57" t="s">
        <v>21</v>
      </c>
      <c r="L11" s="40" t="s">
        <v>320</v>
      </c>
      <c r="M11" s="40" t="s">
        <v>360</v>
      </c>
      <c r="N11" s="57" t="s">
        <v>21</v>
      </c>
      <c r="O11" s="59" t="s">
        <v>21</v>
      </c>
      <c r="P11" s="40" t="s">
        <v>360</v>
      </c>
      <c r="Q11" s="40" t="s">
        <v>357</v>
      </c>
      <c r="R11" s="40" t="s">
        <v>357</v>
      </c>
      <c r="S11" s="40" t="s">
        <v>357</v>
      </c>
      <c r="T11" s="40" t="s">
        <v>357</v>
      </c>
      <c r="U11" s="153" t="s">
        <v>21</v>
      </c>
      <c r="V11" s="59" t="s">
        <v>21</v>
      </c>
      <c r="W11" s="40" t="s">
        <v>370</v>
      </c>
      <c r="X11" s="40" t="s">
        <v>360</v>
      </c>
      <c r="Y11" s="40" t="s">
        <v>357</v>
      </c>
      <c r="Z11" s="40" t="s">
        <v>360</v>
      </c>
      <c r="AA11" s="40" t="s">
        <v>360</v>
      </c>
      <c r="AB11" s="40" t="s">
        <v>2</v>
      </c>
      <c r="AC11" s="59" t="s">
        <v>21</v>
      </c>
      <c r="AD11" s="57" t="s">
        <v>21</v>
      </c>
      <c r="AE11" s="40" t="s">
        <v>357</v>
      </c>
      <c r="AF11" s="40" t="s">
        <v>357</v>
      </c>
      <c r="AG11" s="40" t="s">
        <v>362</v>
      </c>
      <c r="AH11" s="40" t="s">
        <v>363</v>
      </c>
      <c r="AI11" s="57" t="s">
        <v>358</v>
      </c>
      <c r="AJ11" s="147" t="s">
        <v>21</v>
      </c>
      <c r="AK11" s="189"/>
      <c r="AL11" s="268">
        <f t="shared" si="0"/>
        <v>0</v>
      </c>
      <c r="AM11" s="25">
        <f t="shared" si="1"/>
        <v>20</v>
      </c>
      <c r="AN11" s="26">
        <f t="shared" si="2"/>
        <v>10</v>
      </c>
      <c r="AO11" s="29">
        <f t="shared" si="3"/>
        <v>10</v>
      </c>
      <c r="AP11" s="238"/>
      <c r="AR11">
        <v>112</v>
      </c>
    </row>
    <row r="12" spans="1:46" ht="22" customHeight="1">
      <c r="A12" s="701"/>
      <c r="B12" s="20">
        <v>6</v>
      </c>
      <c r="C12" s="708" t="s">
        <v>372</v>
      </c>
      <c r="D12" s="709"/>
      <c r="E12" s="673" t="s">
        <v>32</v>
      </c>
      <c r="F12" s="674"/>
      <c r="G12" s="70" t="s">
        <v>111</v>
      </c>
      <c r="H12" s="59" t="s">
        <v>21</v>
      </c>
      <c r="I12" s="114" t="s">
        <v>21</v>
      </c>
      <c r="J12" s="59" t="s">
        <v>335</v>
      </c>
      <c r="K12" s="59" t="s">
        <v>369</v>
      </c>
      <c r="L12" s="59" t="s">
        <v>352</v>
      </c>
      <c r="M12" s="59" t="s">
        <v>360</v>
      </c>
      <c r="N12" s="59" t="s">
        <v>351</v>
      </c>
      <c r="O12" s="59" t="s">
        <v>21</v>
      </c>
      <c r="P12" s="126" t="s">
        <v>357</v>
      </c>
      <c r="Q12" s="114" t="s">
        <v>371</v>
      </c>
      <c r="R12" s="40" t="s">
        <v>357</v>
      </c>
      <c r="S12" s="59" t="s">
        <v>357</v>
      </c>
      <c r="T12" s="59" t="s">
        <v>357</v>
      </c>
      <c r="U12" s="114" t="s">
        <v>21</v>
      </c>
      <c r="V12" s="59" t="s">
        <v>21</v>
      </c>
      <c r="W12" s="59" t="s">
        <v>357</v>
      </c>
      <c r="X12" s="59" t="s">
        <v>357</v>
      </c>
      <c r="Y12" s="59" t="s">
        <v>357</v>
      </c>
      <c r="Z12" s="59" t="s">
        <v>357</v>
      </c>
      <c r="AA12" s="59" t="s">
        <v>357</v>
      </c>
      <c r="AB12" s="114" t="s">
        <v>356</v>
      </c>
      <c r="AC12" s="59" t="s">
        <v>21</v>
      </c>
      <c r="AD12" s="59" t="s">
        <v>361</v>
      </c>
      <c r="AE12" s="59" t="s">
        <v>357</v>
      </c>
      <c r="AF12" s="40" t="s">
        <v>135</v>
      </c>
      <c r="AG12" s="114" t="s">
        <v>21</v>
      </c>
      <c r="AH12" s="59" t="s">
        <v>357</v>
      </c>
      <c r="AI12" s="59" t="s">
        <v>357</v>
      </c>
      <c r="AJ12" s="147" t="s">
        <v>21</v>
      </c>
      <c r="AK12" s="487"/>
      <c r="AL12" s="30">
        <f t="shared" si="0"/>
        <v>0</v>
      </c>
      <c r="AM12" s="25">
        <f t="shared" si="1"/>
        <v>20</v>
      </c>
      <c r="AN12" s="26">
        <f t="shared" si="2"/>
        <v>10</v>
      </c>
      <c r="AO12" s="29">
        <f t="shared" si="3"/>
        <v>10</v>
      </c>
      <c r="AP12" s="409"/>
      <c r="AS12"/>
      <c r="AT12"/>
    </row>
    <row r="13" spans="1:46" ht="22" customHeight="1" thickBot="1">
      <c r="A13" s="701"/>
      <c r="B13" s="54">
        <v>7</v>
      </c>
      <c r="C13" s="710" t="s">
        <v>29</v>
      </c>
      <c r="D13" s="711"/>
      <c r="E13" s="712" t="s">
        <v>28</v>
      </c>
      <c r="F13" s="713"/>
      <c r="G13" s="166" t="s">
        <v>21</v>
      </c>
      <c r="H13" s="109" t="s">
        <v>21</v>
      </c>
      <c r="I13" s="43" t="s">
        <v>338</v>
      </c>
      <c r="J13" s="43" t="s">
        <v>335</v>
      </c>
      <c r="K13" s="43" t="s">
        <v>338</v>
      </c>
      <c r="L13" s="43" t="s">
        <v>339</v>
      </c>
      <c r="M13" s="43" t="s">
        <v>339</v>
      </c>
      <c r="N13" s="50" t="s">
        <v>21</v>
      </c>
      <c r="O13" s="109" t="s">
        <v>21</v>
      </c>
      <c r="P13" s="44" t="s">
        <v>339</v>
      </c>
      <c r="Q13" s="265" t="s">
        <v>339</v>
      </c>
      <c r="R13" s="44" t="s">
        <v>339</v>
      </c>
      <c r="S13" s="44" t="s">
        <v>338</v>
      </c>
      <c r="T13" s="44" t="s">
        <v>339</v>
      </c>
      <c r="U13" s="83" t="s">
        <v>21</v>
      </c>
      <c r="V13" s="109" t="s">
        <v>21</v>
      </c>
      <c r="W13" s="43" t="s">
        <v>339</v>
      </c>
      <c r="X13" s="43" t="s">
        <v>339</v>
      </c>
      <c r="Y13" s="43" t="s">
        <v>339</v>
      </c>
      <c r="Z13" s="43" t="s">
        <v>338</v>
      </c>
      <c r="AA13" s="43" t="s">
        <v>373</v>
      </c>
      <c r="AB13" s="50" t="s">
        <v>21</v>
      </c>
      <c r="AC13" s="109" t="s">
        <v>21</v>
      </c>
      <c r="AD13" s="43" t="s">
        <v>339</v>
      </c>
      <c r="AE13" s="43" t="s">
        <v>339</v>
      </c>
      <c r="AF13" s="43" t="s">
        <v>2</v>
      </c>
      <c r="AG13" s="43" t="s">
        <v>339</v>
      </c>
      <c r="AH13" s="43" t="s">
        <v>339</v>
      </c>
      <c r="AI13" s="50" t="s">
        <v>21</v>
      </c>
      <c r="AJ13" s="132" t="s">
        <v>21</v>
      </c>
      <c r="AK13" s="199"/>
      <c r="AL13" s="369">
        <f t="shared" si="0"/>
        <v>0</v>
      </c>
      <c r="AM13" s="260">
        <f t="shared" si="1"/>
        <v>20</v>
      </c>
      <c r="AN13" s="32">
        <f t="shared" si="2"/>
        <v>10</v>
      </c>
      <c r="AO13" s="167">
        <f t="shared" si="3"/>
        <v>10</v>
      </c>
      <c r="AP13" s="10"/>
    </row>
    <row r="14" spans="1:46" ht="22" customHeight="1">
      <c r="A14" s="701"/>
      <c r="B14" s="353">
        <v>8</v>
      </c>
      <c r="C14" s="714" t="s">
        <v>25</v>
      </c>
      <c r="D14" s="715"/>
      <c r="E14" s="785" t="s">
        <v>30</v>
      </c>
      <c r="F14" s="771"/>
      <c r="G14" s="212" t="s">
        <v>21</v>
      </c>
      <c r="H14" s="79" t="s">
        <v>21</v>
      </c>
      <c r="I14" s="39" t="s">
        <v>338</v>
      </c>
      <c r="J14" s="39" t="s">
        <v>337</v>
      </c>
      <c r="K14" s="39" t="s">
        <v>339</v>
      </c>
      <c r="L14" s="39" t="s">
        <v>335</v>
      </c>
      <c r="M14" s="39" t="s">
        <v>339</v>
      </c>
      <c r="N14" s="48" t="s">
        <v>325</v>
      </c>
      <c r="O14" s="79" t="s">
        <v>21</v>
      </c>
      <c r="P14" s="323" t="s">
        <v>338</v>
      </c>
      <c r="Q14" s="169" t="s">
        <v>345</v>
      </c>
      <c r="R14" s="169" t="s">
        <v>110</v>
      </c>
      <c r="S14" s="169" t="s">
        <v>2</v>
      </c>
      <c r="T14" s="279" t="s">
        <v>21</v>
      </c>
      <c r="U14" s="271" t="s">
        <v>323</v>
      </c>
      <c r="V14" s="349" t="s">
        <v>21</v>
      </c>
      <c r="W14" s="39" t="s">
        <v>339</v>
      </c>
      <c r="X14" s="39" t="s">
        <v>339</v>
      </c>
      <c r="Y14" s="39" t="s">
        <v>335</v>
      </c>
      <c r="Z14" s="39" t="s">
        <v>338</v>
      </c>
      <c r="AA14" s="120" t="s">
        <v>412</v>
      </c>
      <c r="AB14" s="48" t="s">
        <v>330</v>
      </c>
      <c r="AC14" s="79" t="s">
        <v>21</v>
      </c>
      <c r="AD14" s="39" t="s">
        <v>339</v>
      </c>
      <c r="AE14" s="153" t="s">
        <v>21</v>
      </c>
      <c r="AF14" s="39" t="s">
        <v>338</v>
      </c>
      <c r="AG14" s="39" t="s">
        <v>339</v>
      </c>
      <c r="AH14" s="39" t="s">
        <v>338</v>
      </c>
      <c r="AI14" s="39" t="s">
        <v>323</v>
      </c>
      <c r="AJ14" s="88" t="s">
        <v>21</v>
      </c>
      <c r="AK14" s="408"/>
      <c r="AL14" s="267">
        <f t="shared" si="0"/>
        <v>1</v>
      </c>
      <c r="AM14" s="21">
        <f t="shared" si="1"/>
        <v>19</v>
      </c>
      <c r="AN14" s="22">
        <f t="shared" si="2"/>
        <v>10</v>
      </c>
      <c r="AO14" s="27">
        <f t="shared" si="3"/>
        <v>11</v>
      </c>
      <c r="AP14" s="243"/>
      <c r="AQ14" s="470" t="s">
        <v>306</v>
      </c>
      <c r="AR14" s="700"/>
      <c r="AS14" s="700"/>
      <c r="AT14"/>
    </row>
    <row r="15" spans="1:46" ht="21.75" customHeight="1">
      <c r="A15" s="19" t="s">
        <v>80</v>
      </c>
      <c r="B15" s="301">
        <v>9</v>
      </c>
      <c r="C15" s="684" t="s">
        <v>49</v>
      </c>
      <c r="D15" s="685"/>
      <c r="E15" s="698" t="s">
        <v>31</v>
      </c>
      <c r="F15" s="699"/>
      <c r="G15" s="70" t="s">
        <v>322</v>
      </c>
      <c r="H15" s="89" t="s">
        <v>21</v>
      </c>
      <c r="I15" s="40" t="s">
        <v>338</v>
      </c>
      <c r="J15" s="40" t="s">
        <v>335</v>
      </c>
      <c r="K15" s="40" t="s">
        <v>342</v>
      </c>
      <c r="L15" s="153" t="s">
        <v>21</v>
      </c>
      <c r="M15" s="40" t="s">
        <v>339</v>
      </c>
      <c r="N15" s="57" t="s">
        <v>21</v>
      </c>
      <c r="O15" s="89" t="s">
        <v>21</v>
      </c>
      <c r="P15" s="491" t="s">
        <v>90</v>
      </c>
      <c r="Q15" s="40" t="s">
        <v>339</v>
      </c>
      <c r="R15" s="40" t="s">
        <v>339</v>
      </c>
      <c r="S15" s="40" t="s">
        <v>338</v>
      </c>
      <c r="T15" s="40" t="s">
        <v>338</v>
      </c>
      <c r="U15" s="312" t="s">
        <v>21</v>
      </c>
      <c r="V15" s="74" t="s">
        <v>21</v>
      </c>
      <c r="W15" s="59" t="s">
        <v>338</v>
      </c>
      <c r="X15" s="40" t="s">
        <v>339</v>
      </c>
      <c r="Y15" s="40" t="s">
        <v>335</v>
      </c>
      <c r="Z15" s="57" t="s">
        <v>333</v>
      </c>
      <c r="AA15" s="40" t="s">
        <v>338</v>
      </c>
      <c r="AB15" s="40" t="s">
        <v>323</v>
      </c>
      <c r="AC15" s="89" t="s">
        <v>21</v>
      </c>
      <c r="AD15" s="40" t="s">
        <v>338</v>
      </c>
      <c r="AE15" s="40" t="s">
        <v>335</v>
      </c>
      <c r="AF15" s="40" t="s">
        <v>338</v>
      </c>
      <c r="AG15" s="140" t="s">
        <v>90</v>
      </c>
      <c r="AH15" s="40" t="s">
        <v>339</v>
      </c>
      <c r="AI15" s="57" t="s">
        <v>21</v>
      </c>
      <c r="AJ15" s="147" t="s">
        <v>21</v>
      </c>
      <c r="AK15" s="453"/>
      <c r="AL15" s="268">
        <f t="shared" si="0"/>
        <v>0</v>
      </c>
      <c r="AM15" s="25">
        <f t="shared" si="1"/>
        <v>18</v>
      </c>
      <c r="AN15" s="26">
        <f t="shared" si="2"/>
        <v>10</v>
      </c>
      <c r="AO15" s="29">
        <f t="shared" si="3"/>
        <v>10</v>
      </c>
      <c r="AP15" s="10"/>
      <c r="AQ15" t="s">
        <v>145</v>
      </c>
      <c r="AR15" s="96"/>
      <c r="AS15" s="96"/>
    </row>
    <row r="16" spans="1:46" ht="21.75" customHeight="1">
      <c r="A16" s="19"/>
      <c r="B16" s="301">
        <v>10</v>
      </c>
      <c r="C16" s="684" t="s">
        <v>114</v>
      </c>
      <c r="D16" s="685"/>
      <c r="E16" s="698" t="s">
        <v>31</v>
      </c>
      <c r="F16" s="699"/>
      <c r="G16" s="258" t="s">
        <v>21</v>
      </c>
      <c r="H16" s="68" t="s">
        <v>21</v>
      </c>
      <c r="I16" s="40" t="s">
        <v>339</v>
      </c>
      <c r="J16" s="40" t="s">
        <v>332</v>
      </c>
      <c r="K16" s="59" t="s">
        <v>339</v>
      </c>
      <c r="L16" s="59" t="s">
        <v>336</v>
      </c>
      <c r="M16" s="59" t="s">
        <v>338</v>
      </c>
      <c r="N16" s="153" t="s">
        <v>21</v>
      </c>
      <c r="O16" s="68" t="s">
        <v>21</v>
      </c>
      <c r="P16" s="285" t="s">
        <v>338</v>
      </c>
      <c r="Q16" s="40" t="s">
        <v>133</v>
      </c>
      <c r="R16" s="57" t="s">
        <v>21</v>
      </c>
      <c r="S16" s="40" t="s">
        <v>339</v>
      </c>
      <c r="T16" s="40" t="s">
        <v>339</v>
      </c>
      <c r="U16" s="313" t="s">
        <v>323</v>
      </c>
      <c r="V16" s="110" t="s">
        <v>21</v>
      </c>
      <c r="W16" s="40" t="s">
        <v>339</v>
      </c>
      <c r="X16" s="40" t="s">
        <v>2</v>
      </c>
      <c r="Y16" s="40" t="s">
        <v>51</v>
      </c>
      <c r="Z16" s="40" t="s">
        <v>338</v>
      </c>
      <c r="AA16" s="59" t="s">
        <v>338</v>
      </c>
      <c r="AB16" s="57" t="s">
        <v>21</v>
      </c>
      <c r="AC16" s="68" t="s">
        <v>21</v>
      </c>
      <c r="AD16" s="40" t="s">
        <v>339</v>
      </c>
      <c r="AE16" s="40" t="s">
        <v>332</v>
      </c>
      <c r="AF16" s="114" t="s">
        <v>21</v>
      </c>
      <c r="AG16" s="40" t="s">
        <v>338</v>
      </c>
      <c r="AH16" s="59" t="s">
        <v>338</v>
      </c>
      <c r="AI16" s="40" t="s">
        <v>323</v>
      </c>
      <c r="AJ16" s="65" t="s">
        <v>21</v>
      </c>
      <c r="AK16" s="448"/>
      <c r="AL16" s="268">
        <f t="shared" si="0"/>
        <v>0</v>
      </c>
      <c r="AM16" s="25">
        <f t="shared" si="1"/>
        <v>20</v>
      </c>
      <c r="AN16" s="26">
        <f t="shared" si="2"/>
        <v>10</v>
      </c>
      <c r="AO16" s="29">
        <f t="shared" si="3"/>
        <v>10</v>
      </c>
      <c r="AP16" s="10"/>
      <c r="AQ16" s="1">
        <v>212</v>
      </c>
      <c r="AR16" s="96"/>
      <c r="AS16" s="96"/>
    </row>
    <row r="17" spans="1:83" ht="21.75" customHeight="1" thickBot="1">
      <c r="A17" s="19"/>
      <c r="B17" s="301">
        <v>11</v>
      </c>
      <c r="C17" s="696" t="s">
        <v>192</v>
      </c>
      <c r="D17" s="697"/>
      <c r="E17" s="698" t="s">
        <v>31</v>
      </c>
      <c r="F17" s="699"/>
      <c r="G17" s="58" t="s">
        <v>322</v>
      </c>
      <c r="H17" s="47" t="s">
        <v>21</v>
      </c>
      <c r="I17" s="171" t="s">
        <v>21</v>
      </c>
      <c r="J17" s="121" t="s">
        <v>332</v>
      </c>
      <c r="K17" s="44" t="s">
        <v>343</v>
      </c>
      <c r="L17" s="44" t="s">
        <v>335</v>
      </c>
      <c r="M17" s="44" t="s">
        <v>339</v>
      </c>
      <c r="N17" s="121" t="s">
        <v>323</v>
      </c>
      <c r="O17" s="74" t="s">
        <v>21</v>
      </c>
      <c r="P17" s="274" t="s">
        <v>338</v>
      </c>
      <c r="Q17" s="275" t="s">
        <v>342</v>
      </c>
      <c r="R17" s="321" t="s">
        <v>339</v>
      </c>
      <c r="S17" s="275" t="s">
        <v>338</v>
      </c>
      <c r="T17" s="321" t="s">
        <v>338</v>
      </c>
      <c r="U17" s="362" t="s">
        <v>21</v>
      </c>
      <c r="V17" s="47" t="s">
        <v>21</v>
      </c>
      <c r="W17" s="59" t="s">
        <v>338</v>
      </c>
      <c r="X17" s="40" t="s">
        <v>51</v>
      </c>
      <c r="Y17" s="114" t="s">
        <v>21</v>
      </c>
      <c r="Z17" s="59" t="s">
        <v>338</v>
      </c>
      <c r="AA17" s="40" t="s">
        <v>338</v>
      </c>
      <c r="AB17" s="153" t="s">
        <v>21</v>
      </c>
      <c r="AC17" s="47" t="s">
        <v>21</v>
      </c>
      <c r="AD17" s="121" t="s">
        <v>338</v>
      </c>
      <c r="AE17" s="121" t="s">
        <v>332</v>
      </c>
      <c r="AF17" s="44" t="s">
        <v>338</v>
      </c>
      <c r="AG17" s="121" t="s">
        <v>345</v>
      </c>
      <c r="AH17" s="44" t="s">
        <v>339</v>
      </c>
      <c r="AI17" s="171" t="s">
        <v>21</v>
      </c>
      <c r="AJ17" s="198" t="s">
        <v>21</v>
      </c>
      <c r="AK17" s="449"/>
      <c r="AL17" s="268">
        <f t="shared" si="0"/>
        <v>0</v>
      </c>
      <c r="AM17" s="25">
        <f t="shared" si="1"/>
        <v>20</v>
      </c>
      <c r="AN17" s="26">
        <f t="shared" si="2"/>
        <v>10</v>
      </c>
      <c r="AO17" s="29">
        <f t="shared" si="3"/>
        <v>10</v>
      </c>
      <c r="AP17" s="10"/>
      <c r="AQ17" s="689"/>
      <c r="AR17" s="689"/>
      <c r="AS17" s="653"/>
      <c r="AT17" s="653"/>
      <c r="AU17" s="156"/>
      <c r="AV17" s="157"/>
      <c r="AW17" s="157"/>
      <c r="AX17" s="218"/>
      <c r="AY17" s="157"/>
      <c r="AZ17" s="218"/>
      <c r="BA17" s="157"/>
      <c r="BB17" s="203"/>
      <c r="BC17" s="157"/>
      <c r="BD17" s="157"/>
      <c r="BE17" s="157"/>
      <c r="BF17" s="157"/>
      <c r="BG17" s="157"/>
      <c r="BH17" s="157"/>
      <c r="BI17" s="156"/>
      <c r="BJ17" s="157"/>
      <c r="BK17" s="157"/>
      <c r="BL17" s="158"/>
      <c r="BM17" s="158"/>
      <c r="BN17" s="157"/>
      <c r="BO17" s="157"/>
      <c r="BP17" s="302"/>
      <c r="BQ17" s="157"/>
      <c r="BR17" s="157"/>
      <c r="BS17" s="158"/>
      <c r="BT17" s="157"/>
      <c r="BU17" s="299"/>
      <c r="BV17" s="157"/>
      <c r="BW17" s="157"/>
      <c r="BX17" s="157"/>
      <c r="BY17" s="156"/>
      <c r="BZ17" s="159"/>
      <c r="CA17" s="161"/>
      <c r="CB17" s="160"/>
      <c r="CC17" s="160"/>
    </row>
    <row r="18" spans="1:83" ht="21.75" customHeight="1">
      <c r="A18" s="19"/>
      <c r="B18" s="301">
        <v>12</v>
      </c>
      <c r="C18" s="682" t="s">
        <v>39</v>
      </c>
      <c r="D18" s="683"/>
      <c r="E18" s="698" t="s">
        <v>31</v>
      </c>
      <c r="F18" s="699"/>
      <c r="G18" s="58" t="s">
        <v>332</v>
      </c>
      <c r="H18" s="74" t="s">
        <v>21</v>
      </c>
      <c r="I18" s="270" t="s">
        <v>339</v>
      </c>
      <c r="J18" s="169" t="s">
        <v>332</v>
      </c>
      <c r="K18" s="169" t="s">
        <v>339</v>
      </c>
      <c r="L18" s="169" t="s">
        <v>339</v>
      </c>
      <c r="M18" s="169" t="s">
        <v>338</v>
      </c>
      <c r="N18" s="316" t="s">
        <v>21</v>
      </c>
      <c r="O18" s="47" t="s">
        <v>21</v>
      </c>
      <c r="P18" s="392" t="s">
        <v>89</v>
      </c>
      <c r="Q18" s="71" t="s">
        <v>338</v>
      </c>
      <c r="R18" s="71" t="s">
        <v>338</v>
      </c>
      <c r="S18" s="179" t="s">
        <v>338</v>
      </c>
      <c r="T18" s="486" t="s">
        <v>68</v>
      </c>
      <c r="U18" s="319" t="s">
        <v>21</v>
      </c>
      <c r="V18" s="47" t="s">
        <v>21</v>
      </c>
      <c r="W18" s="59" t="s">
        <v>347</v>
      </c>
      <c r="X18" s="40" t="s">
        <v>339</v>
      </c>
      <c r="Y18" s="59" t="s">
        <v>338</v>
      </c>
      <c r="Z18" s="59" t="s">
        <v>342</v>
      </c>
      <c r="AA18" s="59" t="s">
        <v>332</v>
      </c>
      <c r="AB18" s="114" t="s">
        <v>325</v>
      </c>
      <c r="AC18" s="74" t="s">
        <v>21</v>
      </c>
      <c r="AD18" s="323" t="s">
        <v>339</v>
      </c>
      <c r="AE18" s="370" t="s">
        <v>21</v>
      </c>
      <c r="AF18" s="169" t="s">
        <v>2</v>
      </c>
      <c r="AG18" s="169" t="s">
        <v>338</v>
      </c>
      <c r="AH18" s="81" t="s">
        <v>339</v>
      </c>
      <c r="AI18" s="271" t="s">
        <v>322</v>
      </c>
      <c r="AJ18" s="198" t="s">
        <v>21</v>
      </c>
      <c r="AK18" s="477"/>
      <c r="AL18" s="268">
        <f t="shared" si="0"/>
        <v>0</v>
      </c>
      <c r="AM18" s="25">
        <f t="shared" si="1"/>
        <v>19</v>
      </c>
      <c r="AN18" s="26">
        <v>10</v>
      </c>
      <c r="AO18" s="29">
        <f t="shared" si="3"/>
        <v>10</v>
      </c>
      <c r="AP18" s="238"/>
      <c r="AQ18" s="689"/>
      <c r="AR18" s="689"/>
      <c r="AS18" s="653"/>
      <c r="AT18" s="653"/>
      <c r="AU18" s="156"/>
      <c r="AV18" s="157"/>
      <c r="AW18" s="157"/>
      <c r="AX18" s="158"/>
      <c r="AY18" s="156"/>
      <c r="AZ18" s="156"/>
      <c r="BA18" s="156"/>
      <c r="BB18" s="156"/>
      <c r="BC18" s="157"/>
      <c r="BD18" s="206"/>
      <c r="BE18" s="206"/>
      <c r="BF18" s="218"/>
      <c r="BG18" s="206"/>
      <c r="BH18" s="16"/>
      <c r="BI18" s="156"/>
      <c r="BJ18" s="157"/>
      <c r="BK18" s="206"/>
      <c r="BL18" s="218"/>
      <c r="BM18" s="218"/>
      <c r="BN18" s="218"/>
      <c r="BO18" s="206"/>
      <c r="BP18" s="203"/>
      <c r="BQ18" s="157"/>
      <c r="BR18" s="206"/>
      <c r="BS18" s="218"/>
      <c r="BT18" s="218"/>
      <c r="BU18" s="306"/>
      <c r="BV18" s="218"/>
      <c r="BW18" s="203"/>
      <c r="BX18" s="157"/>
      <c r="BY18" s="157"/>
      <c r="BZ18" s="159"/>
      <c r="CA18" s="161"/>
      <c r="CB18" s="160"/>
      <c r="CC18" s="160"/>
    </row>
    <row r="19" spans="1:83" ht="22" customHeight="1">
      <c r="A19" s="19"/>
      <c r="B19" s="301">
        <v>13</v>
      </c>
      <c r="C19" s="682" t="s">
        <v>95</v>
      </c>
      <c r="D19" s="683"/>
      <c r="E19" s="673" t="s">
        <v>31</v>
      </c>
      <c r="F19" s="674"/>
      <c r="G19" s="258" t="s">
        <v>21</v>
      </c>
      <c r="H19" s="110" t="s">
        <v>333</v>
      </c>
      <c r="I19" s="285" t="s">
        <v>338</v>
      </c>
      <c r="J19" s="40" t="s">
        <v>332</v>
      </c>
      <c r="K19" s="59" t="s">
        <v>339</v>
      </c>
      <c r="L19" s="59" t="s">
        <v>338</v>
      </c>
      <c r="M19" s="59" t="s">
        <v>339</v>
      </c>
      <c r="N19" s="272" t="s">
        <v>325</v>
      </c>
      <c r="O19" s="64" t="s">
        <v>21</v>
      </c>
      <c r="P19" s="40" t="s">
        <v>332</v>
      </c>
      <c r="Q19" s="140" t="s">
        <v>90</v>
      </c>
      <c r="R19" s="59" t="s">
        <v>338</v>
      </c>
      <c r="S19" s="57" t="s">
        <v>21</v>
      </c>
      <c r="T19" s="105" t="s">
        <v>322</v>
      </c>
      <c r="U19" s="40" t="s">
        <v>2</v>
      </c>
      <c r="V19" s="64" t="s">
        <v>334</v>
      </c>
      <c r="W19" s="59" t="s">
        <v>339</v>
      </c>
      <c r="X19" s="40" t="s">
        <v>339</v>
      </c>
      <c r="Y19" s="59" t="s">
        <v>323</v>
      </c>
      <c r="Z19" s="40" t="s">
        <v>339</v>
      </c>
      <c r="AA19" s="59" t="s">
        <v>2</v>
      </c>
      <c r="AB19" s="114" t="s">
        <v>365</v>
      </c>
      <c r="AC19" s="110" t="s">
        <v>21</v>
      </c>
      <c r="AD19" s="280" t="s">
        <v>86</v>
      </c>
      <c r="AE19" s="40" t="s">
        <v>374</v>
      </c>
      <c r="AF19" s="59" t="s">
        <v>339</v>
      </c>
      <c r="AG19" s="59" t="s">
        <v>2</v>
      </c>
      <c r="AH19" s="59" t="s">
        <v>338</v>
      </c>
      <c r="AI19" s="272" t="s">
        <v>21</v>
      </c>
      <c r="AJ19" s="189" t="s">
        <v>21</v>
      </c>
      <c r="AK19" s="189"/>
      <c r="AL19" s="268">
        <f t="shared" si="0"/>
        <v>0</v>
      </c>
      <c r="AM19" s="25">
        <f t="shared" si="1"/>
        <v>19</v>
      </c>
      <c r="AN19" s="26">
        <f t="shared" si="2"/>
        <v>10</v>
      </c>
      <c r="AO19" s="29">
        <f t="shared" si="3"/>
        <v>10</v>
      </c>
      <c r="AP19" s="10"/>
      <c r="AQ19" s="303"/>
      <c r="AR19" s="692"/>
      <c r="AS19" s="692"/>
      <c r="AT19" s="693"/>
      <c r="AU19" s="693"/>
      <c r="AV19" s="158"/>
      <c r="AW19" s="157"/>
      <c r="AX19" s="157"/>
      <c r="AY19" s="158"/>
      <c r="AZ19" s="157"/>
      <c r="BA19" s="157"/>
      <c r="BB19" s="157"/>
      <c r="BC19" s="157"/>
      <c r="BD19" s="157"/>
      <c r="BE19" s="157"/>
      <c r="BF19" s="158"/>
      <c r="BG19" s="157"/>
      <c r="BH19" s="158"/>
      <c r="BI19" s="158"/>
      <c r="BJ19" s="158"/>
      <c r="BK19" s="157"/>
      <c r="BL19" s="158"/>
      <c r="BM19" s="157"/>
      <c r="BN19" s="157"/>
      <c r="BO19" s="304"/>
      <c r="BP19" s="157"/>
      <c r="BQ19" s="157"/>
      <c r="BR19" s="157"/>
      <c r="BS19" s="157"/>
      <c r="BT19" s="158"/>
      <c r="BU19" s="157"/>
      <c r="BV19" s="299"/>
      <c r="BW19" s="157"/>
      <c r="BX19" s="158"/>
      <c r="BY19" s="157"/>
      <c r="BZ19" s="158"/>
      <c r="CA19" s="305"/>
      <c r="CB19" s="161"/>
      <c r="CC19" s="161"/>
      <c r="CD19" s="161"/>
    </row>
    <row r="20" spans="1:83" ht="22" customHeight="1" thickBot="1">
      <c r="A20" s="19"/>
      <c r="B20" s="301">
        <v>14</v>
      </c>
      <c r="C20" s="684" t="s">
        <v>200</v>
      </c>
      <c r="D20" s="685"/>
      <c r="E20" s="694" t="s">
        <v>31</v>
      </c>
      <c r="F20" s="695"/>
      <c r="G20" s="484" t="s">
        <v>21</v>
      </c>
      <c r="H20" s="89" t="s">
        <v>21</v>
      </c>
      <c r="I20" s="341" t="s">
        <v>339</v>
      </c>
      <c r="J20" s="321" t="s">
        <v>332</v>
      </c>
      <c r="K20" s="281" t="s">
        <v>21</v>
      </c>
      <c r="L20" s="321" t="s">
        <v>338</v>
      </c>
      <c r="M20" s="321" t="s">
        <v>339</v>
      </c>
      <c r="N20" s="278" t="s">
        <v>329</v>
      </c>
      <c r="O20" s="47" t="s">
        <v>21</v>
      </c>
      <c r="P20" s="40" t="s">
        <v>335</v>
      </c>
      <c r="Q20" s="40" t="s">
        <v>339</v>
      </c>
      <c r="R20" s="91" t="s">
        <v>40</v>
      </c>
      <c r="S20" s="68" t="s">
        <v>339</v>
      </c>
      <c r="T20" s="224" t="s">
        <v>91</v>
      </c>
      <c r="U20" s="165" t="s">
        <v>21</v>
      </c>
      <c r="V20" s="59" t="s">
        <v>21</v>
      </c>
      <c r="W20" s="44" t="s">
        <v>339</v>
      </c>
      <c r="X20" s="44" t="s">
        <v>339</v>
      </c>
      <c r="Y20" s="44" t="s">
        <v>338</v>
      </c>
      <c r="Z20" s="121" t="s">
        <v>339</v>
      </c>
      <c r="AA20" s="224" t="s">
        <v>321</v>
      </c>
      <c r="AB20" s="44" t="s">
        <v>322</v>
      </c>
      <c r="AC20" s="89" t="s">
        <v>21</v>
      </c>
      <c r="AD20" s="341" t="s">
        <v>338</v>
      </c>
      <c r="AE20" s="321" t="s">
        <v>339</v>
      </c>
      <c r="AF20" s="321" t="s">
        <v>339</v>
      </c>
      <c r="AG20" s="321" t="s">
        <v>338</v>
      </c>
      <c r="AH20" s="321" t="s">
        <v>339</v>
      </c>
      <c r="AI20" s="288" t="s">
        <v>21</v>
      </c>
      <c r="AJ20" s="198" t="s">
        <v>21</v>
      </c>
      <c r="AK20" s="191"/>
      <c r="AL20" s="268">
        <f t="shared" si="0"/>
        <v>1</v>
      </c>
      <c r="AM20" s="25">
        <f t="shared" si="1"/>
        <v>18</v>
      </c>
      <c r="AN20" s="26">
        <v>10</v>
      </c>
      <c r="AO20" s="29">
        <f t="shared" si="3"/>
        <v>11</v>
      </c>
      <c r="AP20" s="10"/>
      <c r="AQ20" s="652"/>
      <c r="AR20" s="652"/>
      <c r="AS20" s="653"/>
      <c r="AT20" s="653"/>
      <c r="AU20" s="158"/>
      <c r="AV20" s="157"/>
      <c r="AW20" s="157"/>
      <c r="AX20" s="158"/>
      <c r="AY20" s="157"/>
      <c r="AZ20" s="156"/>
      <c r="BA20" s="157"/>
      <c r="BB20" s="156"/>
      <c r="BC20" s="157"/>
      <c r="BD20" s="157"/>
      <c r="BE20" s="157"/>
      <c r="BF20" s="157"/>
      <c r="BG20" s="157"/>
      <c r="BH20" s="157"/>
      <c r="BI20" s="158"/>
      <c r="BJ20" s="157"/>
      <c r="BK20" s="157"/>
      <c r="BL20" s="156"/>
      <c r="BM20" s="157"/>
      <c r="BN20" s="157"/>
      <c r="BO20" s="203"/>
      <c r="BP20" s="158"/>
      <c r="BQ20" s="157"/>
      <c r="BR20" s="203"/>
      <c r="BS20" s="156"/>
      <c r="BT20" s="157"/>
      <c r="BU20" s="299"/>
      <c r="BV20" s="157"/>
      <c r="BW20" s="203"/>
      <c r="BX20" s="157"/>
      <c r="BY20" s="157"/>
      <c r="BZ20" s="159"/>
      <c r="CA20" s="161"/>
      <c r="CB20" s="160"/>
      <c r="CC20" s="160"/>
    </row>
    <row r="21" spans="1:83" ht="22" customHeight="1">
      <c r="A21" s="19"/>
      <c r="B21" s="301">
        <v>15</v>
      </c>
      <c r="C21" s="684" t="s">
        <v>26</v>
      </c>
      <c r="D21" s="685"/>
      <c r="E21" s="686" t="s">
        <v>31</v>
      </c>
      <c r="F21" s="686"/>
      <c r="G21" s="482" t="s">
        <v>21</v>
      </c>
      <c r="H21" s="47" t="s">
        <v>21</v>
      </c>
      <c r="I21" s="42" t="s">
        <v>338</v>
      </c>
      <c r="J21" s="42" t="s">
        <v>332</v>
      </c>
      <c r="K21" s="71" t="s">
        <v>339</v>
      </c>
      <c r="L21" s="71" t="s">
        <v>344</v>
      </c>
      <c r="M21" s="42" t="s">
        <v>339</v>
      </c>
      <c r="N21" s="136" t="s">
        <v>21</v>
      </c>
      <c r="O21" s="59" t="s">
        <v>21</v>
      </c>
      <c r="P21" s="40" t="s">
        <v>332</v>
      </c>
      <c r="Q21" s="40" t="s">
        <v>332</v>
      </c>
      <c r="R21" s="59" t="s">
        <v>335</v>
      </c>
      <c r="S21" s="114" t="s">
        <v>21</v>
      </c>
      <c r="T21" s="42" t="s">
        <v>338</v>
      </c>
      <c r="U21" s="42" t="s">
        <v>143</v>
      </c>
      <c r="V21" s="89" t="s">
        <v>21</v>
      </c>
      <c r="W21" s="323" t="s">
        <v>339</v>
      </c>
      <c r="X21" s="81" t="s">
        <v>339</v>
      </c>
      <c r="Y21" s="169" t="s">
        <v>338</v>
      </c>
      <c r="Z21" s="169" t="s">
        <v>143</v>
      </c>
      <c r="AA21" s="169" t="s">
        <v>143</v>
      </c>
      <c r="AB21" s="316" t="s">
        <v>21</v>
      </c>
      <c r="AC21" s="47" t="s">
        <v>21</v>
      </c>
      <c r="AD21" s="42" t="s">
        <v>338</v>
      </c>
      <c r="AE21" s="42" t="s">
        <v>339</v>
      </c>
      <c r="AF21" s="71" t="s">
        <v>339</v>
      </c>
      <c r="AG21" s="42" t="s">
        <v>339</v>
      </c>
      <c r="AH21" s="71" t="s">
        <v>339</v>
      </c>
      <c r="AI21" s="56" t="s">
        <v>21</v>
      </c>
      <c r="AJ21" s="147" t="s">
        <v>21</v>
      </c>
      <c r="AK21" s="189"/>
      <c r="AL21" s="268">
        <f t="shared" si="0"/>
        <v>0</v>
      </c>
      <c r="AM21" s="25">
        <f t="shared" si="1"/>
        <v>20</v>
      </c>
      <c r="AN21" s="26">
        <f t="shared" si="2"/>
        <v>10</v>
      </c>
      <c r="AO21" s="29">
        <f t="shared" si="3"/>
        <v>10</v>
      </c>
      <c r="AP21" s="10"/>
      <c r="AQ21" s="652"/>
      <c r="AR21" s="652"/>
      <c r="AS21" s="653"/>
      <c r="AT21" s="653"/>
      <c r="AU21" s="203"/>
      <c r="AV21" s="158"/>
      <c r="AW21" s="157"/>
      <c r="AX21" s="158"/>
      <c r="AY21" s="158"/>
      <c r="AZ21" s="157"/>
      <c r="BA21" s="157"/>
      <c r="BB21" s="203"/>
      <c r="BC21" s="158"/>
      <c r="BD21" s="157"/>
      <c r="BE21" s="156"/>
      <c r="BF21" s="158"/>
      <c r="BG21" s="158"/>
      <c r="BH21" s="157"/>
      <c r="BI21" s="158"/>
      <c r="BJ21" s="158"/>
      <c r="BK21" s="158"/>
      <c r="BL21" s="158"/>
      <c r="BM21" s="158"/>
      <c r="BN21" s="158"/>
      <c r="BO21" s="158"/>
      <c r="BP21" s="203"/>
      <c r="BQ21" s="158"/>
      <c r="BR21" s="157"/>
      <c r="BS21" s="158"/>
      <c r="BT21" s="158"/>
      <c r="BU21" s="158"/>
      <c r="BV21" s="156"/>
      <c r="BW21" s="158"/>
      <c r="BX21" s="158"/>
      <c r="BY21" s="156"/>
      <c r="BZ21" s="159"/>
      <c r="CA21" s="161"/>
      <c r="CB21" s="160"/>
      <c r="CC21" s="160"/>
    </row>
    <row r="22" spans="1:83" ht="22" customHeight="1">
      <c r="A22" s="19"/>
      <c r="B22" s="301">
        <v>16</v>
      </c>
      <c r="C22" s="690" t="s">
        <v>38</v>
      </c>
      <c r="D22" s="691"/>
      <c r="E22" s="686" t="s">
        <v>31</v>
      </c>
      <c r="F22" s="686"/>
      <c r="G22" s="481" t="s">
        <v>21</v>
      </c>
      <c r="H22" s="64" t="s">
        <v>21</v>
      </c>
      <c r="I22" s="40" t="s">
        <v>341</v>
      </c>
      <c r="J22" s="40" t="s">
        <v>332</v>
      </c>
      <c r="K22" s="59" t="s">
        <v>338</v>
      </c>
      <c r="L22" s="59" t="s">
        <v>338</v>
      </c>
      <c r="M22" s="114" t="s">
        <v>21</v>
      </c>
      <c r="N22" s="40" t="s">
        <v>328</v>
      </c>
      <c r="O22" s="40" t="s">
        <v>21</v>
      </c>
      <c r="P22" s="40" t="s">
        <v>332</v>
      </c>
      <c r="Q22" s="40" t="s">
        <v>332</v>
      </c>
      <c r="R22" s="59" t="s">
        <v>335</v>
      </c>
      <c r="S22" s="40" t="s">
        <v>346</v>
      </c>
      <c r="T22" s="59" t="s">
        <v>339</v>
      </c>
      <c r="U22" s="153" t="s">
        <v>21</v>
      </c>
      <c r="V22" s="68" t="s">
        <v>21</v>
      </c>
      <c r="W22" s="285" t="s">
        <v>339</v>
      </c>
      <c r="X22" s="40" t="s">
        <v>339</v>
      </c>
      <c r="Y22" s="59" t="s">
        <v>338</v>
      </c>
      <c r="Z22" s="40" t="s">
        <v>339</v>
      </c>
      <c r="AA22" s="59" t="s">
        <v>339</v>
      </c>
      <c r="AB22" s="272" t="s">
        <v>21</v>
      </c>
      <c r="AC22" s="64" t="s">
        <v>21</v>
      </c>
      <c r="AD22" s="40" t="s">
        <v>339</v>
      </c>
      <c r="AE22" s="40" t="s">
        <v>339</v>
      </c>
      <c r="AF22" s="114" t="s">
        <v>21</v>
      </c>
      <c r="AG22" s="40" t="s">
        <v>338</v>
      </c>
      <c r="AH22" s="59" t="s">
        <v>338</v>
      </c>
      <c r="AI22" s="40" t="s">
        <v>327</v>
      </c>
      <c r="AJ22" s="65" t="s">
        <v>21</v>
      </c>
      <c r="AK22" s="189"/>
      <c r="AL22" s="268">
        <f t="shared" si="0"/>
        <v>0</v>
      </c>
      <c r="AM22" s="25">
        <f t="shared" si="1"/>
        <v>20</v>
      </c>
      <c r="AN22" s="26">
        <f t="shared" si="2"/>
        <v>10</v>
      </c>
      <c r="AO22" s="29">
        <f t="shared" si="3"/>
        <v>10</v>
      </c>
      <c r="AP22" s="10"/>
      <c r="AR22" s="652"/>
      <c r="AS22" s="652"/>
    </row>
    <row r="23" spans="1:83" ht="22" customHeight="1">
      <c r="A23" s="19"/>
      <c r="B23" s="301">
        <v>17</v>
      </c>
      <c r="C23" s="687" t="s">
        <v>45</v>
      </c>
      <c r="D23" s="688"/>
      <c r="E23" s="686" t="s">
        <v>31</v>
      </c>
      <c r="F23" s="686"/>
      <c r="G23" s="483" t="s">
        <v>21</v>
      </c>
      <c r="H23" s="47" t="s">
        <v>21</v>
      </c>
      <c r="I23" s="40" t="s">
        <v>338</v>
      </c>
      <c r="J23" s="40" t="s">
        <v>337</v>
      </c>
      <c r="K23" s="40" t="s">
        <v>343</v>
      </c>
      <c r="L23" s="57" t="s">
        <v>21</v>
      </c>
      <c r="M23" s="40" t="s">
        <v>339</v>
      </c>
      <c r="N23" s="40" t="s">
        <v>327</v>
      </c>
      <c r="O23" s="59" t="s">
        <v>21</v>
      </c>
      <c r="P23" s="40" t="s">
        <v>332</v>
      </c>
      <c r="Q23" s="59" t="s">
        <v>335</v>
      </c>
      <c r="R23" s="40" t="s">
        <v>332</v>
      </c>
      <c r="S23" s="40" t="s">
        <v>339</v>
      </c>
      <c r="T23" s="40" t="s">
        <v>339</v>
      </c>
      <c r="U23" s="153" t="s">
        <v>21</v>
      </c>
      <c r="V23" s="89" t="s">
        <v>21</v>
      </c>
      <c r="W23" s="285" t="s">
        <v>341</v>
      </c>
      <c r="X23" s="40" t="s">
        <v>338</v>
      </c>
      <c r="Y23" s="57" t="s">
        <v>333</v>
      </c>
      <c r="Z23" s="401" t="s">
        <v>339</v>
      </c>
      <c r="AA23" s="40" t="s">
        <v>338</v>
      </c>
      <c r="AB23" s="313" t="s">
        <v>323</v>
      </c>
      <c r="AC23" s="47" t="s">
        <v>21</v>
      </c>
      <c r="AD23" s="40" t="s">
        <v>339</v>
      </c>
      <c r="AE23" s="59" t="s">
        <v>338</v>
      </c>
      <c r="AF23" s="40" t="s">
        <v>338</v>
      </c>
      <c r="AG23" s="40" t="s">
        <v>339</v>
      </c>
      <c r="AH23" s="40" t="s">
        <v>338</v>
      </c>
      <c r="AI23" s="57" t="s">
        <v>21</v>
      </c>
      <c r="AJ23" s="147" t="s">
        <v>21</v>
      </c>
      <c r="AK23" s="191"/>
      <c r="AL23" s="268">
        <f t="shared" si="0"/>
        <v>0</v>
      </c>
      <c r="AM23" s="25">
        <f t="shared" si="1"/>
        <v>20</v>
      </c>
      <c r="AN23" s="26">
        <f t="shared" si="2"/>
        <v>10</v>
      </c>
      <c r="AO23" s="29">
        <f t="shared" si="3"/>
        <v>10</v>
      </c>
      <c r="AP23" s="10"/>
      <c r="AR23" s="96"/>
      <c r="AS23" s="96"/>
    </row>
    <row r="24" spans="1:83" ht="22" customHeight="1" thickBot="1">
      <c r="A24" s="19"/>
      <c r="B24" s="54">
        <v>18</v>
      </c>
      <c r="C24" s="675" t="s">
        <v>48</v>
      </c>
      <c r="D24" s="676"/>
      <c r="E24" s="677" t="s">
        <v>31</v>
      </c>
      <c r="F24" s="677"/>
      <c r="G24" s="400" t="s">
        <v>323</v>
      </c>
      <c r="H24" s="46" t="s">
        <v>21</v>
      </c>
      <c r="I24" s="93" t="s">
        <v>338</v>
      </c>
      <c r="J24" s="93" t="s">
        <v>335</v>
      </c>
      <c r="K24" s="93" t="s">
        <v>339</v>
      </c>
      <c r="L24" s="93" t="s">
        <v>339</v>
      </c>
      <c r="M24" s="43" t="s">
        <v>339</v>
      </c>
      <c r="N24" s="194" t="s">
        <v>21</v>
      </c>
      <c r="O24" s="93" t="s">
        <v>21</v>
      </c>
      <c r="P24" s="196" t="s">
        <v>40</v>
      </c>
      <c r="Q24" s="196" t="s">
        <v>375</v>
      </c>
      <c r="R24" s="194" t="s">
        <v>21</v>
      </c>
      <c r="S24" s="43" t="s">
        <v>332</v>
      </c>
      <c r="T24" s="43" t="s">
        <v>332</v>
      </c>
      <c r="U24" s="104" t="s">
        <v>21</v>
      </c>
      <c r="V24" s="168" t="s">
        <v>21</v>
      </c>
      <c r="W24" s="329" t="s">
        <v>21</v>
      </c>
      <c r="X24" s="321" t="s">
        <v>338</v>
      </c>
      <c r="Y24" s="275" t="s">
        <v>338</v>
      </c>
      <c r="Z24" s="321" t="s">
        <v>339</v>
      </c>
      <c r="AA24" s="321" t="s">
        <v>355</v>
      </c>
      <c r="AB24" s="278" t="s">
        <v>86</v>
      </c>
      <c r="AC24" s="46" t="s">
        <v>21</v>
      </c>
      <c r="AD24" s="43" t="s">
        <v>339</v>
      </c>
      <c r="AE24" s="43" t="s">
        <v>339</v>
      </c>
      <c r="AF24" s="93" t="s">
        <v>339</v>
      </c>
      <c r="AG24" s="93" t="s">
        <v>338</v>
      </c>
      <c r="AH24" s="93" t="s">
        <v>338</v>
      </c>
      <c r="AI24" s="141" t="s">
        <v>21</v>
      </c>
      <c r="AJ24" s="95" t="s">
        <v>21</v>
      </c>
      <c r="AK24" s="478"/>
      <c r="AL24" s="447">
        <f t="shared" si="0"/>
        <v>2</v>
      </c>
      <c r="AM24" s="23">
        <f t="shared" si="1"/>
        <v>18</v>
      </c>
      <c r="AN24" s="24">
        <f t="shared" si="2"/>
        <v>10</v>
      </c>
      <c r="AO24" s="28">
        <f t="shared" si="3"/>
        <v>12</v>
      </c>
      <c r="AP24" s="10"/>
      <c r="AR24" s="300"/>
      <c r="AS24" s="652"/>
      <c r="AT24" s="652"/>
      <c r="AU24" s="653"/>
      <c r="AV24" s="653"/>
      <c r="AW24" s="203"/>
      <c r="AX24" s="157"/>
      <c r="AY24" s="157"/>
      <c r="AZ24" s="298"/>
      <c r="BA24" s="157"/>
      <c r="BB24" s="156"/>
      <c r="BC24" s="157"/>
      <c r="BD24" s="157"/>
      <c r="BE24" s="157"/>
      <c r="BF24" s="204"/>
      <c r="BG24" s="157"/>
      <c r="BH24" s="157"/>
      <c r="BI24" s="298"/>
      <c r="BJ24" s="157"/>
      <c r="BK24" s="157"/>
      <c r="BL24" s="157"/>
      <c r="BM24" s="204"/>
      <c r="BN24" s="156"/>
      <c r="BO24" s="157"/>
      <c r="BP24" s="157"/>
      <c r="BQ24" s="157"/>
      <c r="BR24" s="203"/>
      <c r="BS24" s="157"/>
      <c r="BT24" s="157"/>
      <c r="BU24" s="158"/>
      <c r="BV24" s="157"/>
      <c r="BW24" s="299"/>
      <c r="BX24" s="157"/>
      <c r="BY24" s="157"/>
      <c r="BZ24" s="157"/>
      <c r="CA24" s="157"/>
      <c r="CB24" s="159"/>
      <c r="CC24" s="161"/>
      <c r="CD24" s="160"/>
      <c r="CE24" s="160"/>
    </row>
    <row r="25" spans="1:83" ht="22" customHeight="1">
      <c r="A25" s="19"/>
      <c r="B25" s="416">
        <v>19</v>
      </c>
      <c r="C25" s="678" t="s">
        <v>197</v>
      </c>
      <c r="D25" s="679"/>
      <c r="E25" s="680" t="s">
        <v>94</v>
      </c>
      <c r="F25" s="681"/>
      <c r="G25" s="485" t="s">
        <v>21</v>
      </c>
      <c r="H25" s="93" t="s">
        <v>21</v>
      </c>
      <c r="I25" s="93" t="s">
        <v>338</v>
      </c>
      <c r="J25" s="93" t="s">
        <v>335</v>
      </c>
      <c r="K25" s="93" t="s">
        <v>338</v>
      </c>
      <c r="L25" s="93" t="s">
        <v>339</v>
      </c>
      <c r="M25" s="43" t="s">
        <v>339</v>
      </c>
      <c r="N25" s="141" t="s">
        <v>21</v>
      </c>
      <c r="O25" s="93" t="s">
        <v>21</v>
      </c>
      <c r="P25" s="93" t="s">
        <v>339</v>
      </c>
      <c r="Q25" s="93" t="s">
        <v>339</v>
      </c>
      <c r="R25" s="93" t="s">
        <v>338</v>
      </c>
      <c r="S25" s="43" t="s">
        <v>338</v>
      </c>
      <c r="T25" s="43" t="s">
        <v>339</v>
      </c>
      <c r="U25" s="50" t="s">
        <v>21</v>
      </c>
      <c r="V25" s="93" t="s">
        <v>21</v>
      </c>
      <c r="W25" s="49" t="s">
        <v>338</v>
      </c>
      <c r="X25" s="49" t="s">
        <v>339</v>
      </c>
      <c r="Y25" s="115" t="s">
        <v>339</v>
      </c>
      <c r="Z25" s="49" t="s">
        <v>339</v>
      </c>
      <c r="AA25" s="49" t="s">
        <v>339</v>
      </c>
      <c r="AB25" s="104" t="s">
        <v>21</v>
      </c>
      <c r="AC25" s="93" t="s">
        <v>21</v>
      </c>
      <c r="AD25" s="43" t="s">
        <v>339</v>
      </c>
      <c r="AE25" s="43" t="s">
        <v>339</v>
      </c>
      <c r="AF25" s="93" t="s">
        <v>339</v>
      </c>
      <c r="AG25" s="93" t="s">
        <v>338</v>
      </c>
      <c r="AH25" s="93" t="s">
        <v>338</v>
      </c>
      <c r="AI25" s="141" t="s">
        <v>21</v>
      </c>
      <c r="AJ25" s="95" t="s">
        <v>21</v>
      </c>
      <c r="AK25" s="479"/>
      <c r="AL25" s="475">
        <f t="shared" si="0"/>
        <v>0</v>
      </c>
      <c r="AM25" s="293">
        <f t="shared" si="1"/>
        <v>20</v>
      </c>
      <c r="AN25" s="294">
        <f t="shared" si="2"/>
        <v>10</v>
      </c>
      <c r="AO25" s="295">
        <f t="shared" si="3"/>
        <v>10</v>
      </c>
      <c r="AP25" s="10"/>
      <c r="AR25" s="652"/>
      <c r="AS25" s="652"/>
      <c r="AT25" s="653"/>
      <c r="AU25" s="653"/>
      <c r="AV25" s="203"/>
      <c r="AW25" s="157"/>
      <c r="AX25" s="157"/>
      <c r="AY25" s="298"/>
      <c r="AZ25" s="157"/>
      <c r="BA25" s="156"/>
      <c r="BB25" s="157"/>
      <c r="BC25" s="203"/>
      <c r="BD25" s="157"/>
      <c r="BE25" s="204"/>
      <c r="BF25" s="298"/>
      <c r="BG25" s="157"/>
      <c r="BH25" s="158"/>
      <c r="BI25" s="157"/>
      <c r="BJ25" s="298"/>
      <c r="BK25" s="157"/>
      <c r="BL25" s="204"/>
      <c r="BM25" s="156"/>
      <c r="BN25" s="157"/>
      <c r="BO25" s="298"/>
      <c r="BP25" s="157"/>
      <c r="BQ25" s="156"/>
      <c r="BR25" s="157"/>
      <c r="BS25" s="157"/>
      <c r="BT25" s="156"/>
      <c r="BU25" s="157"/>
      <c r="BV25" s="299"/>
      <c r="BW25" s="157"/>
      <c r="BX25" s="203"/>
      <c r="BY25" s="157"/>
      <c r="BZ25" s="157"/>
      <c r="CA25" s="159"/>
      <c r="CB25" s="161"/>
      <c r="CC25" s="160"/>
      <c r="CD25" s="160"/>
    </row>
    <row r="26" spans="1:83" ht="22.5" customHeight="1">
      <c r="A26" s="659"/>
      <c r="B26" s="660" t="s">
        <v>3</v>
      </c>
      <c r="C26" s="661"/>
      <c r="D26" s="661"/>
      <c r="E26" s="662"/>
      <c r="F26" s="297" t="s">
        <v>2</v>
      </c>
      <c r="G26" s="461">
        <f>COUNTIF(G6:G23,"D")</f>
        <v>7</v>
      </c>
      <c r="H26" s="240">
        <f t="shared" ref="H26:AK26" si="4">COUNTIF(H6:H23,"D")</f>
        <v>0</v>
      </c>
      <c r="I26" s="210">
        <f t="shared" si="4"/>
        <v>14</v>
      </c>
      <c r="J26" s="210">
        <f t="shared" si="4"/>
        <v>17</v>
      </c>
      <c r="K26" s="210">
        <f t="shared" si="4"/>
        <v>15</v>
      </c>
      <c r="L26" s="210">
        <f>COUNTIF(L6:L23,"D")</f>
        <v>14</v>
      </c>
      <c r="M26" s="210">
        <f t="shared" si="4"/>
        <v>15</v>
      </c>
      <c r="N26" s="210">
        <f t="shared" si="4"/>
        <v>7</v>
      </c>
      <c r="O26" s="210">
        <f t="shared" si="4"/>
        <v>0</v>
      </c>
      <c r="P26" s="210">
        <f t="shared" si="4"/>
        <v>15</v>
      </c>
      <c r="Q26" s="210">
        <f t="shared" si="4"/>
        <v>14</v>
      </c>
      <c r="R26" s="210">
        <f t="shared" si="4"/>
        <v>15</v>
      </c>
      <c r="S26" s="210">
        <f t="shared" si="4"/>
        <v>15</v>
      </c>
      <c r="T26" s="210">
        <f t="shared" si="4"/>
        <v>13</v>
      </c>
      <c r="U26" s="210">
        <f t="shared" si="4"/>
        <v>7</v>
      </c>
      <c r="V26" s="210">
        <f t="shared" si="4"/>
        <v>0</v>
      </c>
      <c r="W26" s="210">
        <f t="shared" si="4"/>
        <v>15</v>
      </c>
      <c r="X26" s="210">
        <f t="shared" si="4"/>
        <v>17</v>
      </c>
      <c r="Y26" s="210">
        <f t="shared" si="4"/>
        <v>15</v>
      </c>
      <c r="Z26" s="210">
        <f t="shared" si="4"/>
        <v>15</v>
      </c>
      <c r="AA26" s="210">
        <f t="shared" si="4"/>
        <v>15</v>
      </c>
      <c r="AB26" s="210">
        <f t="shared" si="4"/>
        <v>6</v>
      </c>
      <c r="AC26" s="210">
        <f t="shared" si="4"/>
        <v>0</v>
      </c>
      <c r="AD26" s="210">
        <f t="shared" si="4"/>
        <v>16</v>
      </c>
      <c r="AE26" s="210">
        <f t="shared" si="4"/>
        <v>15</v>
      </c>
      <c r="AF26" s="210">
        <f t="shared" si="4"/>
        <v>13</v>
      </c>
      <c r="AG26" s="210">
        <f t="shared" si="4"/>
        <v>14</v>
      </c>
      <c r="AH26" s="210">
        <f t="shared" si="4"/>
        <v>17</v>
      </c>
      <c r="AI26" s="210">
        <f t="shared" si="4"/>
        <v>6</v>
      </c>
      <c r="AJ26" s="492">
        <f t="shared" si="4"/>
        <v>0</v>
      </c>
      <c r="AK26" s="480">
        <f t="shared" si="4"/>
        <v>0</v>
      </c>
      <c r="AL26" s="175">
        <f t="shared" si="0"/>
        <v>0</v>
      </c>
      <c r="AM26" s="33">
        <f t="shared" si="1"/>
        <v>0</v>
      </c>
      <c r="AN26" s="34">
        <f t="shared" si="2"/>
        <v>0</v>
      </c>
      <c r="AO26" s="410">
        <f t="shared" si="3"/>
        <v>0</v>
      </c>
      <c r="AP26" s="10"/>
    </row>
    <row r="27" spans="1:83" ht="22.5" customHeight="1">
      <c r="A27" s="659"/>
      <c r="B27" s="663" t="s">
        <v>4</v>
      </c>
      <c r="C27" s="664"/>
      <c r="D27" s="664"/>
      <c r="E27" s="665"/>
      <c r="F27" s="2" t="s">
        <v>1</v>
      </c>
      <c r="G27" s="14">
        <f t="shared" ref="G27:AK27" si="5">COUNTIF(G6:G25,"●")</f>
        <v>11</v>
      </c>
      <c r="H27" s="14">
        <f t="shared" si="5"/>
        <v>20</v>
      </c>
      <c r="I27" s="14">
        <f t="shared" si="5"/>
        <v>3</v>
      </c>
      <c r="J27" s="14">
        <f t="shared" si="5"/>
        <v>0</v>
      </c>
      <c r="K27" s="14">
        <f t="shared" si="5"/>
        <v>2</v>
      </c>
      <c r="L27" s="14">
        <f t="shared" si="5"/>
        <v>3</v>
      </c>
      <c r="M27" s="14">
        <f t="shared" si="5"/>
        <v>2</v>
      </c>
      <c r="N27" s="14">
        <f t="shared" si="5"/>
        <v>12</v>
      </c>
      <c r="O27" s="14">
        <f t="shared" si="5"/>
        <v>20</v>
      </c>
      <c r="P27" s="14">
        <f t="shared" si="5"/>
        <v>0</v>
      </c>
      <c r="Q27" s="14">
        <f t="shared" si="5"/>
        <v>2</v>
      </c>
      <c r="R27" s="14">
        <f t="shared" si="5"/>
        <v>2</v>
      </c>
      <c r="S27" s="14">
        <f t="shared" si="5"/>
        <v>2</v>
      </c>
      <c r="T27" s="14">
        <f t="shared" si="5"/>
        <v>2</v>
      </c>
      <c r="U27" s="14">
        <f t="shared" si="5"/>
        <v>12</v>
      </c>
      <c r="V27" s="14">
        <f t="shared" si="5"/>
        <v>20</v>
      </c>
      <c r="W27" s="14">
        <f t="shared" si="5"/>
        <v>3</v>
      </c>
      <c r="X27" s="14">
        <f t="shared" si="5"/>
        <v>0</v>
      </c>
      <c r="Y27" s="14">
        <f t="shared" si="5"/>
        <v>2</v>
      </c>
      <c r="Z27" s="14">
        <f t="shared" si="5"/>
        <v>2</v>
      </c>
      <c r="AA27" s="14">
        <f t="shared" si="5"/>
        <v>0</v>
      </c>
      <c r="AB27" s="14">
        <f t="shared" si="5"/>
        <v>12</v>
      </c>
      <c r="AC27" s="14">
        <f t="shared" si="5"/>
        <v>20</v>
      </c>
      <c r="AD27" s="14">
        <f t="shared" si="5"/>
        <v>1</v>
      </c>
      <c r="AE27" s="14">
        <f t="shared" si="5"/>
        <v>2</v>
      </c>
      <c r="AF27" s="14">
        <f t="shared" si="5"/>
        <v>4</v>
      </c>
      <c r="AG27" s="14">
        <f t="shared" si="5"/>
        <v>2</v>
      </c>
      <c r="AH27" s="14">
        <f t="shared" si="5"/>
        <v>0</v>
      </c>
      <c r="AI27" s="14">
        <f t="shared" si="5"/>
        <v>13</v>
      </c>
      <c r="AJ27" s="14">
        <f t="shared" si="5"/>
        <v>20</v>
      </c>
      <c r="AK27" s="14">
        <f t="shared" si="5"/>
        <v>0</v>
      </c>
      <c r="AL27" s="666" t="s">
        <v>174</v>
      </c>
      <c r="AM27" s="667"/>
      <c r="AN27" s="667"/>
      <c r="AO27" s="668"/>
      <c r="AP27" s="10"/>
    </row>
    <row r="28" spans="1:83" ht="22.5" customHeight="1" thickBot="1">
      <c r="A28" s="743"/>
      <c r="B28" s="670" t="s">
        <v>5</v>
      </c>
      <c r="C28" s="671"/>
      <c r="D28" s="671"/>
      <c r="E28" s="672"/>
      <c r="F28" s="3" t="s">
        <v>0</v>
      </c>
      <c r="G28" s="14">
        <f t="shared" ref="G28:AK28" si="6">COUNTIF(G6:G25,"▲")</f>
        <v>0</v>
      </c>
      <c r="H28" s="14">
        <f t="shared" si="6"/>
        <v>0</v>
      </c>
      <c r="I28" s="14">
        <f t="shared" si="6"/>
        <v>0</v>
      </c>
      <c r="J28" s="14">
        <f t="shared" si="6"/>
        <v>0</v>
      </c>
      <c r="K28" s="14">
        <f t="shared" si="6"/>
        <v>0</v>
      </c>
      <c r="L28" s="14">
        <f t="shared" si="6"/>
        <v>0</v>
      </c>
      <c r="M28" s="14">
        <f t="shared" si="6"/>
        <v>0</v>
      </c>
      <c r="N28" s="14">
        <f t="shared" si="6"/>
        <v>0</v>
      </c>
      <c r="O28" s="14">
        <f t="shared" si="6"/>
        <v>0</v>
      </c>
      <c r="P28" s="14">
        <f t="shared" si="6"/>
        <v>1</v>
      </c>
      <c r="Q28" s="14">
        <f t="shared" si="6"/>
        <v>1</v>
      </c>
      <c r="R28" s="14">
        <f t="shared" si="6"/>
        <v>1</v>
      </c>
      <c r="S28" s="14">
        <f t="shared" si="6"/>
        <v>0</v>
      </c>
      <c r="T28" s="14">
        <f t="shared" si="6"/>
        <v>0</v>
      </c>
      <c r="U28" s="14">
        <f t="shared" si="6"/>
        <v>0</v>
      </c>
      <c r="V28" s="14">
        <f t="shared" si="6"/>
        <v>0</v>
      </c>
      <c r="W28" s="14">
        <f t="shared" si="6"/>
        <v>0</v>
      </c>
      <c r="X28" s="14">
        <f t="shared" si="6"/>
        <v>0</v>
      </c>
      <c r="Y28" s="14">
        <f t="shared" si="6"/>
        <v>0</v>
      </c>
      <c r="Z28" s="14">
        <f t="shared" si="6"/>
        <v>0</v>
      </c>
      <c r="AA28" s="14">
        <f t="shared" si="6"/>
        <v>1</v>
      </c>
      <c r="AB28" s="14">
        <f t="shared" si="6"/>
        <v>0</v>
      </c>
      <c r="AC28" s="14">
        <f t="shared" si="6"/>
        <v>0</v>
      </c>
      <c r="AD28" s="14">
        <f t="shared" si="6"/>
        <v>0</v>
      </c>
      <c r="AE28" s="14">
        <f t="shared" si="6"/>
        <v>0</v>
      </c>
      <c r="AF28" s="14">
        <f t="shared" si="6"/>
        <v>0</v>
      </c>
      <c r="AG28" s="14">
        <f t="shared" si="6"/>
        <v>0</v>
      </c>
      <c r="AH28" s="14">
        <f t="shared" si="6"/>
        <v>0</v>
      </c>
      <c r="AI28" s="14">
        <f t="shared" si="6"/>
        <v>0</v>
      </c>
      <c r="AJ28" s="14">
        <f t="shared" si="6"/>
        <v>0</v>
      </c>
      <c r="AK28" s="14">
        <f t="shared" si="6"/>
        <v>0</v>
      </c>
      <c r="AL28" s="52" t="s">
        <v>19</v>
      </c>
      <c r="AM28" s="649" t="s">
        <v>17</v>
      </c>
      <c r="AN28" s="650"/>
      <c r="AO28" s="651"/>
      <c r="AP28" s="10"/>
    </row>
    <row r="29" spans="1:83" ht="22.5" customHeight="1" thickTop="1" thickBot="1">
      <c r="A29" s="743"/>
      <c r="B29" s="654"/>
      <c r="C29" s="654"/>
      <c r="D29" s="654"/>
      <c r="E29" s="654"/>
      <c r="F29" s="654"/>
      <c r="G29" s="286"/>
      <c r="H29" s="651" t="s">
        <v>93</v>
      </c>
      <c r="I29" s="655"/>
      <c r="J29" s="655"/>
      <c r="K29" s="3" t="s">
        <v>0</v>
      </c>
      <c r="L29" s="649" t="s">
        <v>5</v>
      </c>
      <c r="M29" s="651"/>
      <c r="N29" s="5" t="s">
        <v>68</v>
      </c>
      <c r="O29" s="656" t="s">
        <v>177</v>
      </c>
      <c r="P29" s="657"/>
      <c r="Q29" s="658"/>
      <c r="R29" s="5" t="s">
        <v>91</v>
      </c>
      <c r="S29" s="656" t="s">
        <v>179</v>
      </c>
      <c r="T29" s="657"/>
      <c r="U29" s="658"/>
      <c r="V29" s="6" t="s">
        <v>56</v>
      </c>
      <c r="W29" s="644" t="s">
        <v>178</v>
      </c>
      <c r="X29" s="645"/>
      <c r="Y29" s="645"/>
      <c r="Z29" s="6" t="s">
        <v>83</v>
      </c>
      <c r="AA29" s="644" t="s">
        <v>180</v>
      </c>
      <c r="AB29" s="645"/>
      <c r="AC29" s="645"/>
      <c r="AD29" s="152" t="s">
        <v>1</v>
      </c>
      <c r="AE29" s="646" t="s">
        <v>175</v>
      </c>
      <c r="AF29" s="647"/>
      <c r="AG29" s="648"/>
      <c r="AH29" s="2" t="s">
        <v>21</v>
      </c>
      <c r="AI29" s="649" t="s">
        <v>4</v>
      </c>
      <c r="AJ29" s="650"/>
      <c r="AK29" s="651"/>
      <c r="AL29" s="13" t="s">
        <v>20</v>
      </c>
      <c r="AM29" s="649" t="s">
        <v>18</v>
      </c>
      <c r="AN29" s="650"/>
      <c r="AO29" s="651"/>
      <c r="AP29" s="10"/>
    </row>
    <row r="30" spans="1:83" customFormat="1" ht="19" thickTop="1">
      <c r="B30" s="8"/>
      <c r="C30" s="652"/>
      <c r="D30" s="652"/>
      <c r="E30" s="653"/>
      <c r="F30" s="653"/>
      <c r="G30" s="156"/>
      <c r="H30" s="158"/>
      <c r="I30" s="157"/>
      <c r="J30" s="158"/>
      <c r="K30" s="158"/>
      <c r="L30" s="158"/>
      <c r="M30" s="158"/>
      <c r="N30" s="203"/>
      <c r="O30" s="158"/>
      <c r="P30" s="158"/>
      <c r="Q30" s="203"/>
      <c r="R30" s="157"/>
      <c r="S30" s="157"/>
      <c r="T30" s="158"/>
      <c r="U30" s="158"/>
      <c r="V30" s="158"/>
      <c r="W30" s="158"/>
      <c r="X30" s="157"/>
      <c r="Y30" s="157"/>
      <c r="Z30" s="157"/>
      <c r="AA30" s="158"/>
      <c r="AB30" s="203"/>
      <c r="AC30" s="158"/>
      <c r="AD30" s="158"/>
      <c r="AE30" s="203"/>
      <c r="AF30" s="157"/>
      <c r="AG30" s="158"/>
      <c r="AH30" s="158"/>
      <c r="AI30" s="157"/>
      <c r="AJ30" s="158"/>
      <c r="AK30" s="158"/>
      <c r="AN30" s="9"/>
      <c r="AO30" s="11"/>
    </row>
    <row r="31" spans="1:83" s="11" customFormat="1" ht="18">
      <c r="A31" s="1"/>
      <c r="B31" s="652"/>
      <c r="C31" s="652"/>
      <c r="D31" s="652"/>
      <c r="E31" s="652"/>
      <c r="F31" s="653"/>
      <c r="G31" s="653"/>
      <c r="H31" s="156"/>
      <c r="I31" s="158"/>
      <c r="J31" s="157"/>
      <c r="K31" s="158"/>
      <c r="L31" s="158"/>
      <c r="M31" s="157"/>
      <c r="N31" s="157"/>
      <c r="O31" s="203"/>
      <c r="P31" s="158"/>
      <c r="Q31" s="157"/>
      <c r="R31" s="157"/>
      <c r="S31" s="158"/>
      <c r="T31" s="158"/>
      <c r="U31" s="218"/>
      <c r="V31" s="158"/>
      <c r="W31" s="158"/>
      <c r="X31" s="158"/>
      <c r="Y31" s="158"/>
      <c r="Z31" s="156"/>
      <c r="AA31" s="158"/>
      <c r="AB31" s="158"/>
      <c r="AC31" s="158"/>
      <c r="AD31" s="158"/>
      <c r="AE31" s="157"/>
      <c r="AF31" s="158"/>
      <c r="AG31" s="156"/>
      <c r="AH31" s="158"/>
      <c r="AI31" s="158"/>
      <c r="AJ31" s="158"/>
      <c r="AK31" s="158"/>
      <c r="AL31" s="156"/>
      <c r="AM31" s="160"/>
      <c r="AN31" s="160"/>
      <c r="AP31" s="12"/>
      <c r="AQ31" s="1"/>
      <c r="AR31" s="1"/>
      <c r="AS31" s="1"/>
      <c r="AT31" s="1"/>
    </row>
    <row r="32" spans="1:83" s="11" customFormat="1">
      <c r="A32" s="1"/>
      <c r="B32" s="1"/>
      <c r="C32" s="1"/>
      <c r="D32" s="1"/>
      <c r="E32" s="1"/>
      <c r="F32" s="1"/>
      <c r="G32"/>
      <c r="H32" s="1"/>
      <c r="I32" s="1"/>
      <c r="J32" s="8"/>
      <c r="K32" s="8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7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9"/>
      <c r="AP32" s="12"/>
      <c r="AQ32" s="1"/>
      <c r="AR32" s="1"/>
      <c r="AS32" s="1"/>
      <c r="AT32" s="1"/>
    </row>
    <row r="33" spans="1:46" s="11" customFormat="1" ht="18">
      <c r="A33" s="1"/>
      <c r="B33" s="1"/>
      <c r="C33" s="1"/>
      <c r="D33" s="1"/>
      <c r="E33" s="1"/>
      <c r="F33" s="1"/>
      <c r="G33" s="17"/>
      <c r="H33" s="17"/>
      <c r="I33" s="17"/>
      <c r="J33" s="17"/>
      <c r="K33" s="15"/>
      <c r="L33" s="17"/>
      <c r="M33" s="17"/>
      <c r="N33" s="17"/>
      <c r="O33" s="17"/>
      <c r="P33" s="17"/>
      <c r="Q33" s="17"/>
      <c r="R33" s="15"/>
      <c r="S33" s="17"/>
      <c r="T33" s="16"/>
      <c r="U33" s="16"/>
      <c r="V33" s="16"/>
      <c r="W33" s="16"/>
      <c r="X33" s="16"/>
      <c r="Y33" s="15"/>
      <c r="Z33" s="16"/>
      <c r="AA33" s="16"/>
      <c r="AB33" s="16"/>
      <c r="AC33" s="16"/>
      <c r="AD33" s="16"/>
      <c r="AE33" s="16"/>
      <c r="AF33" s="15" t="s">
        <v>41</v>
      </c>
      <c r="AG33" s="16"/>
      <c r="AH33" s="16"/>
      <c r="AI33" s="16"/>
      <c r="AJ33" s="16"/>
      <c r="AK33" s="16"/>
      <c r="AL33" s="1"/>
      <c r="AM33" s="1"/>
      <c r="AN33" s="9"/>
      <c r="AP33" s="12"/>
      <c r="AQ33" s="1"/>
      <c r="AR33" s="1"/>
      <c r="AS33" s="1"/>
      <c r="AT33" s="1"/>
    </row>
    <row r="34" spans="1:46" s="11" customFormat="1">
      <c r="A34" s="1"/>
      <c r="B34" s="1"/>
      <c r="C34" s="1"/>
      <c r="D34" s="1"/>
      <c r="E34" s="1"/>
      <c r="F34" s="1"/>
      <c r="G34"/>
      <c r="H34" s="1"/>
      <c r="I34" s="1"/>
      <c r="J34" s="8"/>
      <c r="K34" s="8"/>
      <c r="L34" s="1"/>
      <c r="M34" t="s">
        <v>27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7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9"/>
      <c r="AP34" s="12"/>
      <c r="AQ34" s="1"/>
      <c r="AR34" s="1"/>
      <c r="AS34" s="1"/>
      <c r="AT34" s="1"/>
    </row>
    <row r="35" spans="1:46" s="11" customFormat="1">
      <c r="A35" s="1"/>
      <c r="B35" s="1"/>
      <c r="C35" s="1"/>
      <c r="D35" s="1"/>
      <c r="E35" s="1"/>
      <c r="F35" s="1"/>
      <c r="G35"/>
      <c r="H35" s="1"/>
      <c r="I35" s="1"/>
      <c r="J35" s="8"/>
      <c r="K35" s="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7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9"/>
      <c r="AP35" s="12"/>
      <c r="AQ35" s="1"/>
      <c r="AR35" s="1"/>
      <c r="AS35" s="1"/>
      <c r="AT35" s="1"/>
    </row>
    <row r="36" spans="1:46" s="11" customFormat="1">
      <c r="A36" s="1"/>
      <c r="B36" s="1"/>
      <c r="C36" s="1"/>
      <c r="D36" s="1"/>
      <c r="E36" s="1"/>
      <c r="F36" s="1"/>
      <c r="G36"/>
      <c r="H36" s="1"/>
      <c r="I36" s="1"/>
      <c r="J36" s="8"/>
      <c r="K36" s="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7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9"/>
      <c r="AP36" s="12"/>
      <c r="AQ36" s="1"/>
      <c r="AR36" s="1"/>
      <c r="AS36" s="1"/>
      <c r="AT36" s="1"/>
    </row>
    <row r="37" spans="1:46" s="11" customFormat="1">
      <c r="A37" s="1"/>
      <c r="B37" s="1"/>
      <c r="C37" s="1"/>
      <c r="D37" s="1"/>
      <c r="E37" s="1"/>
      <c r="F37" s="1"/>
      <c r="G37"/>
      <c r="H37" s="1"/>
      <c r="I37" s="1"/>
      <c r="J37" s="8"/>
      <c r="K37" s="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7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9"/>
      <c r="AP37" s="12"/>
      <c r="AQ37" s="1"/>
      <c r="AR37" s="1"/>
      <c r="AS37" s="1"/>
      <c r="AT37" s="1"/>
    </row>
    <row r="38" spans="1:46" s="11" customFormat="1">
      <c r="A38" s="1"/>
      <c r="B38" s="1"/>
      <c r="C38" s="1"/>
      <c r="D38" s="1"/>
      <c r="E38" s="1"/>
      <c r="F38" s="1"/>
      <c r="G38"/>
      <c r="H38" s="1"/>
      <c r="I38" s="1"/>
      <c r="J38" s="8"/>
      <c r="K38" s="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7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9"/>
      <c r="AP38" s="12"/>
      <c r="AQ38" s="1"/>
      <c r="AR38" s="1"/>
      <c r="AS38" s="1"/>
      <c r="AT38" s="1"/>
    </row>
    <row r="39" spans="1:46" s="11" customFormat="1">
      <c r="A39" s="1"/>
      <c r="B39" s="1"/>
      <c r="C39" s="1"/>
      <c r="D39" s="1"/>
      <c r="E39" s="1"/>
      <c r="F39" s="1"/>
      <c r="G39"/>
      <c r="H39" s="1"/>
      <c r="I39" s="1"/>
      <c r="J39" s="8"/>
      <c r="K39" s="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7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9"/>
      <c r="AP39" s="12"/>
      <c r="AQ39" s="1"/>
      <c r="AR39" s="1"/>
      <c r="AS39" s="1"/>
      <c r="AT39" s="1"/>
    </row>
    <row r="40" spans="1:46" s="11" customFormat="1">
      <c r="A40" s="1"/>
      <c r="B40" s="1"/>
      <c r="C40" s="1"/>
      <c r="D40" s="1"/>
      <c r="E40" s="1"/>
      <c r="F40" s="1"/>
      <c r="G40"/>
      <c r="H40" s="1"/>
      <c r="I40" s="1"/>
      <c r="J40" s="8"/>
      <c r="K40" s="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7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9"/>
      <c r="AP40" s="12"/>
      <c r="AQ40" s="1"/>
      <c r="AR40" s="1"/>
      <c r="AS40" s="1"/>
      <c r="AT40" s="1"/>
    </row>
    <row r="41" spans="1:46" s="11" customFormat="1">
      <c r="A41" s="1"/>
      <c r="B41" s="1"/>
      <c r="C41" s="1"/>
      <c r="D41" s="1"/>
      <c r="E41" s="1"/>
      <c r="F41" s="1"/>
      <c r="G41"/>
      <c r="H41" s="1"/>
      <c r="I41" s="1"/>
      <c r="J41" s="8"/>
      <c r="K41" s="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7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9"/>
      <c r="AP41" s="12"/>
      <c r="AQ41" s="1"/>
      <c r="AR41" s="1"/>
      <c r="AS41" s="1"/>
      <c r="AT41" s="1"/>
    </row>
    <row r="42" spans="1:46" s="11" customFormat="1">
      <c r="A42" s="1"/>
      <c r="B42" s="1"/>
      <c r="C42" s="1"/>
      <c r="D42" s="1"/>
      <c r="E42" s="1"/>
      <c r="F42" s="1"/>
      <c r="G42"/>
      <c r="H42" s="1"/>
      <c r="I42" s="1"/>
      <c r="J42" s="8"/>
      <c r="K42" s="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7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9"/>
      <c r="AP42" s="12"/>
      <c r="AQ42" s="1"/>
      <c r="AR42" s="1"/>
      <c r="AS42" s="1"/>
      <c r="AT42" s="1"/>
    </row>
    <row r="43" spans="1:46" s="11" customFormat="1">
      <c r="A43" s="1"/>
      <c r="B43" s="1"/>
      <c r="C43" s="1"/>
      <c r="D43" s="1"/>
      <c r="E43" s="1"/>
      <c r="F43" s="1"/>
      <c r="G43"/>
      <c r="H43" s="1"/>
      <c r="I43" s="1"/>
      <c r="J43" s="8"/>
      <c r="K43" s="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7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9"/>
      <c r="AP43" s="12"/>
      <c r="AQ43" s="1"/>
      <c r="AR43" s="1"/>
      <c r="AS43" s="1"/>
      <c r="AT43" s="1"/>
    </row>
    <row r="44" spans="1:46" s="11" customFormat="1">
      <c r="A44" s="1"/>
      <c r="B44" s="1"/>
      <c r="C44" s="1"/>
      <c r="D44" s="1"/>
      <c r="E44" s="1"/>
      <c r="F44" s="1"/>
      <c r="G44"/>
      <c r="H44" s="1"/>
      <c r="I44" s="1"/>
      <c r="J44" s="8"/>
      <c r="K44" s="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7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9"/>
      <c r="AP44" s="12"/>
      <c r="AQ44" s="1"/>
      <c r="AR44" s="1"/>
      <c r="AS44" s="1"/>
      <c r="AT44" s="1"/>
    </row>
    <row r="45" spans="1:46" s="11" customFormat="1">
      <c r="A45" s="1"/>
      <c r="B45" s="1"/>
      <c r="C45" s="1"/>
      <c r="D45" s="1"/>
      <c r="E45" s="1"/>
      <c r="F45" s="1"/>
      <c r="G45"/>
      <c r="H45" s="1"/>
      <c r="I45" s="1"/>
      <c r="J45" s="8"/>
      <c r="K45" s="8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7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9"/>
      <c r="AP45" s="12"/>
      <c r="AQ45" s="1"/>
      <c r="AR45" s="1"/>
      <c r="AS45" s="1"/>
      <c r="AT45" s="1"/>
    </row>
    <row r="46" spans="1:46" s="11" customFormat="1">
      <c r="A46" s="1"/>
      <c r="B46" s="1"/>
      <c r="C46" s="1"/>
      <c r="D46" s="1"/>
      <c r="E46" s="1"/>
      <c r="F46" s="1"/>
      <c r="G46"/>
      <c r="H46" s="1"/>
      <c r="I46" s="1"/>
      <c r="J46" s="8"/>
      <c r="K46" s="8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7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9"/>
      <c r="AP46" s="12"/>
      <c r="AQ46" s="1"/>
      <c r="AR46" s="1"/>
      <c r="AS46" s="1"/>
      <c r="AT46" s="1"/>
    </row>
    <row r="47" spans="1:46">
      <c r="Y47" s="1"/>
      <c r="AD47" s="1"/>
    </row>
    <row r="48" spans="1:46" ht="40">
      <c r="R48" s="125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R22:AS22"/>
    <mergeCell ref="C23:D23"/>
    <mergeCell ref="E23:F23"/>
    <mergeCell ref="C24:D24"/>
    <mergeCell ref="E24:F24"/>
    <mergeCell ref="AS24:AT24"/>
    <mergeCell ref="A26:A27"/>
    <mergeCell ref="B26:E26"/>
    <mergeCell ref="B27:E27"/>
    <mergeCell ref="AL27:AO27"/>
    <mergeCell ref="C22:D22"/>
    <mergeCell ref="E22:F22"/>
    <mergeCell ref="AU24:AV24"/>
    <mergeCell ref="C25:D25"/>
    <mergeCell ref="E25:F25"/>
    <mergeCell ref="AR25:AS25"/>
    <mergeCell ref="AT25:AU25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121" priority="11" operator="equal">
      <formula>8</formula>
    </cfRule>
    <cfRule type="cellIs" dxfId="120" priority="12" operator="equal">
      <formula>0</formula>
    </cfRule>
  </conditionalFormatting>
  <conditionalFormatting sqref="BZ20:BZ21">
    <cfRule type="cellIs" dxfId="119" priority="5" operator="equal">
      <formula>8</formula>
    </cfRule>
    <cfRule type="cellIs" dxfId="118" priority="6" operator="equal">
      <formula>0</formula>
    </cfRule>
  </conditionalFormatting>
  <conditionalFormatting sqref="CA19">
    <cfRule type="cellIs" dxfId="117" priority="1" operator="equal">
      <formula>8</formula>
    </cfRule>
    <cfRule type="cellIs" dxfId="116" priority="2" operator="equal">
      <formula>0</formula>
    </cfRule>
  </conditionalFormatting>
  <conditionalFormatting sqref="CA25">
    <cfRule type="cellIs" dxfId="115" priority="3" operator="equal">
      <formula>8</formula>
    </cfRule>
    <cfRule type="cellIs" dxfId="114" priority="4" operator="equal">
      <formula>0</formula>
    </cfRule>
  </conditionalFormatting>
  <conditionalFormatting sqref="CB24">
    <cfRule type="cellIs" dxfId="113" priority="7" operator="equal">
      <formula>8</formula>
    </cfRule>
    <cfRule type="cellIs" dxfId="112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G27" sqref="AG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8" customWidth="1"/>
    <col min="12" max="24" width="3.6640625" style="1" customWidth="1"/>
    <col min="25" max="25" width="3.6640625" style="38" customWidth="1"/>
    <col min="26" max="28" width="3.6640625" style="1" customWidth="1"/>
    <col min="29" max="29" width="3.6640625" style="7" customWidth="1"/>
    <col min="30" max="30" width="3.6640625" style="41" customWidth="1"/>
    <col min="31" max="39" width="3.6640625" style="1" customWidth="1"/>
    <col min="40" max="40" width="8.6640625" style="9" customWidth="1"/>
    <col min="41" max="41" width="5.1640625" style="11" customWidth="1"/>
    <col min="42" max="42" width="9" style="12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18"/>
      <c r="B1" s="729" t="s">
        <v>376</v>
      </c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  <c r="AA1" s="729"/>
      <c r="AB1" s="729"/>
      <c r="AC1" s="729"/>
      <c r="AD1" s="729"/>
      <c r="AE1" s="729"/>
      <c r="AF1" s="729"/>
      <c r="AG1" s="729"/>
      <c r="AH1" s="729"/>
      <c r="AI1" s="729"/>
      <c r="AJ1" s="729"/>
      <c r="AK1" s="729"/>
      <c r="AL1" s="729"/>
      <c r="AM1" s="729"/>
      <c r="AN1" s="729"/>
      <c r="AO1" s="729"/>
    </row>
    <row r="2" spans="1:46" ht="22.5" customHeight="1">
      <c r="A2" s="1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29"/>
      <c r="AB2" s="729"/>
      <c r="AC2" s="729"/>
      <c r="AD2" s="729"/>
      <c r="AE2" s="729"/>
      <c r="AF2" s="729"/>
      <c r="AG2" s="729"/>
      <c r="AH2" s="729"/>
      <c r="AI2" s="729"/>
      <c r="AJ2" s="729"/>
      <c r="AK2" s="729"/>
      <c r="AL2" s="729"/>
      <c r="AM2" s="729"/>
      <c r="AN2" s="729"/>
      <c r="AO2" s="729"/>
    </row>
    <row r="3" spans="1:46" ht="22.5" customHeight="1">
      <c r="A3" s="18"/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R3" s="730"/>
      <c r="S3" s="730"/>
      <c r="T3" s="730"/>
      <c r="U3" s="730"/>
      <c r="V3" s="730"/>
      <c r="W3" s="730"/>
      <c r="X3" s="730"/>
      <c r="Y3" s="730"/>
      <c r="Z3" s="730"/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</row>
    <row r="4" spans="1:46" ht="25" customHeight="1">
      <c r="B4" s="731"/>
      <c r="C4" s="733" t="s">
        <v>6</v>
      </c>
      <c r="D4" s="734"/>
      <c r="E4" s="734"/>
      <c r="F4" s="735"/>
      <c r="G4" s="310">
        <v>1</v>
      </c>
      <c r="H4" s="37">
        <v>2</v>
      </c>
      <c r="I4" s="37">
        <v>3</v>
      </c>
      <c r="J4" s="37">
        <v>4</v>
      </c>
      <c r="K4" s="37">
        <v>5</v>
      </c>
      <c r="L4" s="127">
        <v>6</v>
      </c>
      <c r="M4" s="51">
        <v>7</v>
      </c>
      <c r="N4" s="37">
        <v>8</v>
      </c>
      <c r="O4" s="37">
        <v>9</v>
      </c>
      <c r="P4" s="37">
        <v>10</v>
      </c>
      <c r="Q4" s="37">
        <v>11</v>
      </c>
      <c r="R4" s="37">
        <v>12</v>
      </c>
      <c r="S4" s="127">
        <v>13</v>
      </c>
      <c r="T4" s="51">
        <v>14</v>
      </c>
      <c r="U4" s="37">
        <v>15</v>
      </c>
      <c r="V4" s="37">
        <v>16</v>
      </c>
      <c r="W4" s="37">
        <v>17</v>
      </c>
      <c r="X4" s="37">
        <v>18</v>
      </c>
      <c r="Y4" s="37">
        <v>19</v>
      </c>
      <c r="Z4" s="127">
        <v>20</v>
      </c>
      <c r="AA4" s="51">
        <v>21</v>
      </c>
      <c r="AB4" s="37">
        <v>22</v>
      </c>
      <c r="AC4" s="37">
        <v>23</v>
      </c>
      <c r="AD4" s="37">
        <v>24</v>
      </c>
      <c r="AE4" s="127">
        <v>25</v>
      </c>
      <c r="AF4" s="37">
        <v>26</v>
      </c>
      <c r="AG4" s="127">
        <v>27</v>
      </c>
      <c r="AH4" s="51">
        <v>28</v>
      </c>
      <c r="AI4" s="37">
        <v>29</v>
      </c>
      <c r="AJ4" s="37">
        <v>30</v>
      </c>
      <c r="AK4" s="309">
        <v>31</v>
      </c>
      <c r="AL4" s="736" t="s">
        <v>35</v>
      </c>
      <c r="AM4" s="737"/>
      <c r="AN4" s="737"/>
      <c r="AO4" s="738"/>
      <c r="AP4" s="10"/>
    </row>
    <row r="5" spans="1:46" ht="25" customHeight="1">
      <c r="B5" s="732"/>
      <c r="C5" s="739" t="s">
        <v>7</v>
      </c>
      <c r="D5" s="740"/>
      <c r="E5" s="741" t="s">
        <v>8</v>
      </c>
      <c r="F5" s="742"/>
      <c r="G5" s="184" t="s">
        <v>70</v>
      </c>
      <c r="H5" s="185" t="s">
        <v>159</v>
      </c>
      <c r="I5" s="185" t="s">
        <v>9</v>
      </c>
      <c r="J5" s="185" t="s">
        <v>10</v>
      </c>
      <c r="K5" s="185" t="s">
        <v>11</v>
      </c>
      <c r="L5" s="186" t="s">
        <v>12</v>
      </c>
      <c r="M5" s="188" t="s">
        <v>13</v>
      </c>
      <c r="N5" s="185" t="s">
        <v>14</v>
      </c>
      <c r="O5" s="185" t="s">
        <v>15</v>
      </c>
      <c r="P5" s="185" t="s">
        <v>9</v>
      </c>
      <c r="Q5" s="185" t="s">
        <v>10</v>
      </c>
      <c r="R5" s="185" t="s">
        <v>11</v>
      </c>
      <c r="S5" s="186" t="s">
        <v>12</v>
      </c>
      <c r="T5" s="188" t="s">
        <v>13</v>
      </c>
      <c r="U5" s="185" t="s">
        <v>14</v>
      </c>
      <c r="V5" s="185" t="s">
        <v>15</v>
      </c>
      <c r="W5" s="185" t="s">
        <v>9</v>
      </c>
      <c r="X5" s="185" t="s">
        <v>10</v>
      </c>
      <c r="Y5" s="185" t="s">
        <v>11</v>
      </c>
      <c r="Z5" s="186" t="s">
        <v>12</v>
      </c>
      <c r="AA5" s="188" t="s">
        <v>13</v>
      </c>
      <c r="AB5" s="185" t="s">
        <v>14</v>
      </c>
      <c r="AC5" s="185" t="s">
        <v>15</v>
      </c>
      <c r="AD5" s="185" t="s">
        <v>9</v>
      </c>
      <c r="AE5" s="186" t="s">
        <v>10</v>
      </c>
      <c r="AF5" s="185" t="s">
        <v>11</v>
      </c>
      <c r="AG5" s="186" t="s">
        <v>12</v>
      </c>
      <c r="AH5" s="188" t="s">
        <v>13</v>
      </c>
      <c r="AI5" s="185" t="s">
        <v>14</v>
      </c>
      <c r="AJ5" s="185" t="s">
        <v>15</v>
      </c>
      <c r="AK5" s="208" t="s">
        <v>9</v>
      </c>
      <c r="AL5" s="3" t="s">
        <v>0</v>
      </c>
      <c r="AM5" s="35" t="s">
        <v>2</v>
      </c>
      <c r="AN5" s="253" t="s">
        <v>1</v>
      </c>
      <c r="AO5" s="36" t="s">
        <v>16</v>
      </c>
      <c r="AP5" s="10"/>
    </row>
    <row r="6" spans="1:46" ht="22" customHeight="1">
      <c r="B6" s="353">
        <v>1</v>
      </c>
      <c r="C6" s="718" t="s">
        <v>191</v>
      </c>
      <c r="D6" s="719"/>
      <c r="E6" s="720" t="s">
        <v>34</v>
      </c>
      <c r="F6" s="721"/>
      <c r="G6" s="73" t="s">
        <v>381</v>
      </c>
      <c r="H6" s="39" t="s">
        <v>379</v>
      </c>
      <c r="I6" s="39" t="s">
        <v>379</v>
      </c>
      <c r="J6" s="48" t="s">
        <v>21</v>
      </c>
      <c r="K6" s="48" t="s">
        <v>21</v>
      </c>
      <c r="L6" s="48" t="s">
        <v>409</v>
      </c>
      <c r="M6" s="39" t="s">
        <v>1</v>
      </c>
      <c r="N6" s="39" t="s">
        <v>387</v>
      </c>
      <c r="O6" s="39" t="s">
        <v>379</v>
      </c>
      <c r="P6" s="39" t="s">
        <v>379</v>
      </c>
      <c r="Q6" s="39" t="s">
        <v>388</v>
      </c>
      <c r="R6" s="39" t="s">
        <v>388</v>
      </c>
      <c r="S6" s="48" t="s">
        <v>396</v>
      </c>
      <c r="T6" s="39" t="s">
        <v>1</v>
      </c>
      <c r="U6" s="39" t="s">
        <v>388</v>
      </c>
      <c r="V6" s="39" t="s">
        <v>388</v>
      </c>
      <c r="W6" s="39" t="s">
        <v>388</v>
      </c>
      <c r="X6" s="39" t="s">
        <v>387</v>
      </c>
      <c r="Y6" s="39" t="s">
        <v>388</v>
      </c>
      <c r="Z6" s="48" t="s">
        <v>21</v>
      </c>
      <c r="AA6" s="39" t="s">
        <v>1</v>
      </c>
      <c r="AB6" s="39" t="s">
        <v>388</v>
      </c>
      <c r="AC6" s="79" t="s">
        <v>388</v>
      </c>
      <c r="AD6" s="39" t="s">
        <v>390</v>
      </c>
      <c r="AE6" s="48" t="s">
        <v>21</v>
      </c>
      <c r="AF6" s="39" t="s">
        <v>387</v>
      </c>
      <c r="AG6" s="48" t="s">
        <v>401</v>
      </c>
      <c r="AH6" s="39" t="s">
        <v>1</v>
      </c>
      <c r="AI6" s="39" t="s">
        <v>391</v>
      </c>
      <c r="AJ6" s="39" t="s">
        <v>388</v>
      </c>
      <c r="AK6" s="88" t="s">
        <v>388</v>
      </c>
      <c r="AL6" s="267">
        <f t="shared" ref="AL6:AL26" si="0">COUNTIF(G6:AK6,"▲")</f>
        <v>0</v>
      </c>
      <c r="AM6" s="21">
        <f t="shared" ref="AM6:AM26" si="1">COUNTIF(G6:AK6,"D")</f>
        <v>20</v>
      </c>
      <c r="AN6" s="22">
        <f t="shared" ref="AN6:AN26" si="2">COUNTIF(G6:AK6,"●")</f>
        <v>11</v>
      </c>
      <c r="AO6" s="27">
        <f t="shared" ref="AO6:AO26" si="3">AN6+AL6</f>
        <v>11</v>
      </c>
      <c r="AP6" s="10"/>
    </row>
    <row r="7" spans="1:46" ht="21.75" customHeight="1">
      <c r="B7" s="54">
        <v>2</v>
      </c>
      <c r="C7" s="710" t="s">
        <v>22</v>
      </c>
      <c r="D7" s="722"/>
      <c r="E7" s="723" t="s">
        <v>23</v>
      </c>
      <c r="F7" s="724"/>
      <c r="G7" s="142" t="s">
        <v>379</v>
      </c>
      <c r="H7" s="93" t="s">
        <v>400</v>
      </c>
      <c r="I7" s="141" t="s">
        <v>21</v>
      </c>
      <c r="J7" s="43" t="s">
        <v>400</v>
      </c>
      <c r="K7" s="93" t="s">
        <v>402</v>
      </c>
      <c r="L7" s="93" t="s">
        <v>379</v>
      </c>
      <c r="M7" s="93" t="s">
        <v>21</v>
      </c>
      <c r="N7" s="43" t="s">
        <v>400</v>
      </c>
      <c r="O7" s="50" t="s">
        <v>414</v>
      </c>
      <c r="P7" s="43" t="s">
        <v>400</v>
      </c>
      <c r="Q7" s="43" t="s">
        <v>400</v>
      </c>
      <c r="R7" s="93" t="s">
        <v>400</v>
      </c>
      <c r="S7" s="50" t="s">
        <v>21</v>
      </c>
      <c r="T7" s="93" t="s">
        <v>21</v>
      </c>
      <c r="U7" s="43" t="s">
        <v>384</v>
      </c>
      <c r="V7" s="43" t="s">
        <v>2</v>
      </c>
      <c r="W7" s="50" t="s">
        <v>414</v>
      </c>
      <c r="X7" s="43" t="s">
        <v>400</v>
      </c>
      <c r="Y7" s="93" t="s">
        <v>400</v>
      </c>
      <c r="Z7" s="93" t="s">
        <v>2</v>
      </c>
      <c r="AA7" s="93" t="s">
        <v>21</v>
      </c>
      <c r="AB7" s="43" t="s">
        <v>142</v>
      </c>
      <c r="AC7" s="168" t="s">
        <v>400</v>
      </c>
      <c r="AD7" s="43" t="s">
        <v>379</v>
      </c>
      <c r="AE7" s="43" t="s">
        <v>388</v>
      </c>
      <c r="AF7" s="93" t="s">
        <v>400</v>
      </c>
      <c r="AG7" s="141" t="s">
        <v>21</v>
      </c>
      <c r="AH7" s="93" t="s">
        <v>21</v>
      </c>
      <c r="AI7" s="43" t="s">
        <v>400</v>
      </c>
      <c r="AJ7" s="93" t="s">
        <v>400</v>
      </c>
      <c r="AK7" s="132" t="s">
        <v>400</v>
      </c>
      <c r="AL7" s="369">
        <f t="shared" si="0"/>
        <v>0</v>
      </c>
      <c r="AM7" s="260">
        <f t="shared" si="1"/>
        <v>22</v>
      </c>
      <c r="AN7" s="32">
        <v>9</v>
      </c>
      <c r="AO7" s="167">
        <f t="shared" si="3"/>
        <v>9</v>
      </c>
      <c r="AP7" s="10"/>
      <c r="AT7"/>
    </row>
    <row r="8" spans="1:46" ht="22" customHeight="1">
      <c r="B8" s="353">
        <v>3</v>
      </c>
      <c r="C8" s="725" t="s">
        <v>36</v>
      </c>
      <c r="D8" s="726"/>
      <c r="E8" s="727" t="s">
        <v>37</v>
      </c>
      <c r="F8" s="728"/>
      <c r="G8" s="76" t="s">
        <v>382</v>
      </c>
      <c r="H8" s="71" t="s">
        <v>52</v>
      </c>
      <c r="I8" s="75" t="s">
        <v>388</v>
      </c>
      <c r="J8" s="404" t="s">
        <v>21</v>
      </c>
      <c r="K8" s="75" t="s">
        <v>400</v>
      </c>
      <c r="L8" s="75" t="s">
        <v>403</v>
      </c>
      <c r="M8" s="71" t="s">
        <v>21</v>
      </c>
      <c r="N8" s="75" t="s">
        <v>400</v>
      </c>
      <c r="O8" s="71" t="s">
        <v>403</v>
      </c>
      <c r="P8" s="75" t="s">
        <v>400</v>
      </c>
      <c r="Q8" s="75" t="s">
        <v>51</v>
      </c>
      <c r="R8" s="404" t="s">
        <v>21</v>
      </c>
      <c r="S8" s="75" t="s">
        <v>387</v>
      </c>
      <c r="T8" s="71" t="s">
        <v>21</v>
      </c>
      <c r="U8" s="75" t="s">
        <v>382</v>
      </c>
      <c r="V8" s="233" t="s">
        <v>21</v>
      </c>
      <c r="W8" s="39" t="s">
        <v>403</v>
      </c>
      <c r="X8" s="39" t="s">
        <v>153</v>
      </c>
      <c r="Y8" s="75" t="s">
        <v>400</v>
      </c>
      <c r="Z8" s="75" t="s">
        <v>387</v>
      </c>
      <c r="AA8" s="71" t="s">
        <v>21</v>
      </c>
      <c r="AB8" s="75" t="s">
        <v>400</v>
      </c>
      <c r="AC8" s="233" t="s">
        <v>21</v>
      </c>
      <c r="AD8" s="75" t="s">
        <v>142</v>
      </c>
      <c r="AE8" s="75" t="s">
        <v>142</v>
      </c>
      <c r="AF8" s="75" t="s">
        <v>403</v>
      </c>
      <c r="AG8" s="75" t="s">
        <v>388</v>
      </c>
      <c r="AH8" s="71" t="s">
        <v>21</v>
      </c>
      <c r="AI8" s="75" t="s">
        <v>403</v>
      </c>
      <c r="AJ8" s="75" t="s">
        <v>81</v>
      </c>
      <c r="AK8" s="233" t="s">
        <v>21</v>
      </c>
      <c r="AL8" s="267">
        <f t="shared" si="0"/>
        <v>0</v>
      </c>
      <c r="AM8" s="21">
        <f t="shared" si="1"/>
        <v>22</v>
      </c>
      <c r="AN8" s="22">
        <v>9</v>
      </c>
      <c r="AO8" s="27">
        <f t="shared" si="3"/>
        <v>9</v>
      </c>
      <c r="AP8" s="10"/>
      <c r="AR8"/>
    </row>
    <row r="9" spans="1:46" ht="22" hidden="1" customHeight="1">
      <c r="A9" s="701"/>
      <c r="B9" s="20">
        <v>4</v>
      </c>
      <c r="C9" s="781"/>
      <c r="D9" s="782"/>
      <c r="E9" s="704"/>
      <c r="F9" s="705"/>
      <c r="G9" s="58"/>
      <c r="H9" s="59"/>
      <c r="I9" s="57"/>
      <c r="J9" s="383"/>
      <c r="K9" s="59"/>
      <c r="L9" s="59"/>
      <c r="M9" s="59" t="s">
        <v>21</v>
      </c>
      <c r="N9" s="117"/>
      <c r="O9" s="59"/>
      <c r="P9" s="91"/>
      <c r="Q9" s="45"/>
      <c r="R9" s="59"/>
      <c r="S9" s="40"/>
      <c r="T9" s="59" t="s">
        <v>21</v>
      </c>
      <c r="U9" s="57"/>
      <c r="V9" s="40"/>
      <c r="W9" s="40"/>
      <c r="X9" s="57"/>
      <c r="Y9" s="59"/>
      <c r="Z9" s="40"/>
      <c r="AA9" s="59" t="s">
        <v>21</v>
      </c>
      <c r="AB9" s="40"/>
      <c r="AC9" s="89"/>
      <c r="AD9" s="59"/>
      <c r="AE9" s="59"/>
      <c r="AF9" s="59"/>
      <c r="AG9" s="57"/>
      <c r="AH9" s="59" t="s">
        <v>21</v>
      </c>
      <c r="AI9" s="40"/>
      <c r="AJ9" s="59"/>
      <c r="AK9" s="65"/>
      <c r="AL9" s="268"/>
      <c r="AM9" s="25"/>
      <c r="AN9" s="26"/>
      <c r="AO9" s="29"/>
      <c r="AP9" s="10"/>
      <c r="AR9" t="s">
        <v>168</v>
      </c>
      <c r="AS9" t="s">
        <v>169</v>
      </c>
      <c r="AT9" t="s">
        <v>170</v>
      </c>
    </row>
    <row r="10" spans="1:46" ht="22" customHeight="1">
      <c r="A10" s="701"/>
      <c r="B10" s="20">
        <v>4</v>
      </c>
      <c r="C10" s="702" t="s">
        <v>46</v>
      </c>
      <c r="D10" s="703"/>
      <c r="E10" s="704" t="s">
        <v>24</v>
      </c>
      <c r="F10" s="705"/>
      <c r="G10" s="58" t="s">
        <v>379</v>
      </c>
      <c r="H10" s="40" t="s">
        <v>52</v>
      </c>
      <c r="I10" s="59" t="s">
        <v>2</v>
      </c>
      <c r="J10" s="59" t="s">
        <v>390</v>
      </c>
      <c r="K10" s="59" t="s">
        <v>379</v>
      </c>
      <c r="L10" s="59" t="s">
        <v>379</v>
      </c>
      <c r="M10" s="40" t="s">
        <v>396</v>
      </c>
      <c r="N10" s="57" t="s">
        <v>21</v>
      </c>
      <c r="O10" s="40" t="s">
        <v>403</v>
      </c>
      <c r="P10" s="40" t="s">
        <v>403</v>
      </c>
      <c r="Q10" s="59" t="s">
        <v>403</v>
      </c>
      <c r="R10" s="59" t="s">
        <v>403</v>
      </c>
      <c r="S10" s="40" t="s">
        <v>397</v>
      </c>
      <c r="T10" s="40" t="s">
        <v>21</v>
      </c>
      <c r="U10" s="59" t="s">
        <v>146</v>
      </c>
      <c r="V10" s="40" t="s">
        <v>2</v>
      </c>
      <c r="W10" s="40" t="s">
        <v>403</v>
      </c>
      <c r="X10" s="40" t="s">
        <v>400</v>
      </c>
      <c r="Y10" s="59" t="s">
        <v>403</v>
      </c>
      <c r="Z10" s="137" t="s">
        <v>399</v>
      </c>
      <c r="AA10" s="40" t="s">
        <v>21</v>
      </c>
      <c r="AB10" s="40" t="s">
        <v>400</v>
      </c>
      <c r="AC10" s="68" t="s">
        <v>400</v>
      </c>
      <c r="AD10" s="59" t="s">
        <v>382</v>
      </c>
      <c r="AE10" s="57" t="s">
        <v>21</v>
      </c>
      <c r="AF10" s="59" t="s">
        <v>400</v>
      </c>
      <c r="AG10" s="195" t="s">
        <v>394</v>
      </c>
      <c r="AH10" s="40" t="s">
        <v>377</v>
      </c>
      <c r="AI10" s="40" t="s">
        <v>403</v>
      </c>
      <c r="AJ10" s="40" t="s">
        <v>403</v>
      </c>
      <c r="AK10" s="173" t="s">
        <v>172</v>
      </c>
      <c r="AL10" s="268">
        <f t="shared" si="0"/>
        <v>0</v>
      </c>
      <c r="AM10" s="25">
        <f t="shared" si="1"/>
        <v>22</v>
      </c>
      <c r="AN10" s="26">
        <f t="shared" si="2"/>
        <v>9</v>
      </c>
      <c r="AO10" s="29">
        <f t="shared" si="3"/>
        <v>9</v>
      </c>
      <c r="AP10" s="10"/>
      <c r="AR10"/>
      <c r="AS10"/>
      <c r="AT10"/>
    </row>
    <row r="11" spans="1:46" ht="22" customHeight="1">
      <c r="A11" s="701"/>
      <c r="B11" s="20">
        <v>5</v>
      </c>
      <c r="C11" s="706" t="s">
        <v>167</v>
      </c>
      <c r="D11" s="707"/>
      <c r="E11" s="698" t="s">
        <v>24</v>
      </c>
      <c r="F11" s="699"/>
      <c r="G11" s="70" t="s">
        <v>382</v>
      </c>
      <c r="H11" s="59" t="s">
        <v>52</v>
      </c>
      <c r="I11" s="40" t="s">
        <v>388</v>
      </c>
      <c r="J11" s="40" t="s">
        <v>378</v>
      </c>
      <c r="K11" s="57" t="s">
        <v>136</v>
      </c>
      <c r="L11" s="59" t="s">
        <v>128</v>
      </c>
      <c r="M11" s="59" t="s">
        <v>21</v>
      </c>
      <c r="N11" s="40" t="s">
        <v>2</v>
      </c>
      <c r="O11" s="59" t="s">
        <v>403</v>
      </c>
      <c r="P11" s="57" t="s">
        <v>398</v>
      </c>
      <c r="Q11" s="40" t="s">
        <v>400</v>
      </c>
      <c r="R11" s="40" t="s">
        <v>400</v>
      </c>
      <c r="S11" s="57" t="s">
        <v>21</v>
      </c>
      <c r="T11" s="59" t="s">
        <v>21</v>
      </c>
      <c r="U11" s="59" t="s">
        <v>382</v>
      </c>
      <c r="V11" s="40" t="s">
        <v>2</v>
      </c>
      <c r="W11" s="40" t="s">
        <v>403</v>
      </c>
      <c r="X11" s="40" t="s">
        <v>403</v>
      </c>
      <c r="Y11" s="40" t="s">
        <v>403</v>
      </c>
      <c r="Z11" s="137" t="s">
        <v>21</v>
      </c>
      <c r="AA11" s="59" t="s">
        <v>21</v>
      </c>
      <c r="AB11" s="40" t="s">
        <v>404</v>
      </c>
      <c r="AC11" s="89" t="s">
        <v>403</v>
      </c>
      <c r="AD11" s="40" t="s">
        <v>379</v>
      </c>
      <c r="AE11" s="40" t="s">
        <v>393</v>
      </c>
      <c r="AF11" s="57" t="s">
        <v>21</v>
      </c>
      <c r="AG11" s="40" t="s">
        <v>393</v>
      </c>
      <c r="AH11" s="59" t="s">
        <v>21</v>
      </c>
      <c r="AI11" s="40" t="s">
        <v>400</v>
      </c>
      <c r="AJ11" s="59" t="s">
        <v>403</v>
      </c>
      <c r="AK11" s="65" t="s">
        <v>405</v>
      </c>
      <c r="AL11" s="268">
        <f t="shared" si="0"/>
        <v>0</v>
      </c>
      <c r="AM11" s="25">
        <f t="shared" si="1"/>
        <v>22</v>
      </c>
      <c r="AN11" s="26">
        <f t="shared" si="2"/>
        <v>9</v>
      </c>
      <c r="AO11" s="29">
        <f t="shared" si="3"/>
        <v>9</v>
      </c>
      <c r="AP11" s="238"/>
      <c r="AR11">
        <v>112</v>
      </c>
    </row>
    <row r="12" spans="1:46" ht="22" customHeight="1">
      <c r="A12" s="701"/>
      <c r="B12" s="20">
        <v>6</v>
      </c>
      <c r="C12" s="708" t="s">
        <v>372</v>
      </c>
      <c r="D12" s="709"/>
      <c r="E12" s="673" t="s">
        <v>32</v>
      </c>
      <c r="F12" s="674"/>
      <c r="G12" s="236" t="s">
        <v>382</v>
      </c>
      <c r="H12" s="121" t="s">
        <v>57</v>
      </c>
      <c r="I12" s="121" t="s">
        <v>388</v>
      </c>
      <c r="J12" s="121" t="s">
        <v>57</v>
      </c>
      <c r="K12" s="121" t="s">
        <v>400</v>
      </c>
      <c r="L12" s="171" t="s">
        <v>21</v>
      </c>
      <c r="M12" s="121" t="s">
        <v>21</v>
      </c>
      <c r="N12" s="121" t="s">
        <v>385</v>
      </c>
      <c r="O12" s="121" t="s">
        <v>400</v>
      </c>
      <c r="P12" s="85" t="s">
        <v>400</v>
      </c>
      <c r="Q12" s="44" t="s">
        <v>400</v>
      </c>
      <c r="R12" s="44" t="s">
        <v>400</v>
      </c>
      <c r="S12" s="171" t="s">
        <v>21</v>
      </c>
      <c r="T12" s="121" t="s">
        <v>21</v>
      </c>
      <c r="U12" s="172" t="s">
        <v>21</v>
      </c>
      <c r="V12" s="121" t="s">
        <v>117</v>
      </c>
      <c r="W12" s="121" t="s">
        <v>400</v>
      </c>
      <c r="X12" s="121" t="s">
        <v>403</v>
      </c>
      <c r="Y12" s="121" t="s">
        <v>400</v>
      </c>
      <c r="Z12" s="121" t="s">
        <v>388</v>
      </c>
      <c r="AA12" s="121" t="s">
        <v>21</v>
      </c>
      <c r="AB12" s="40" t="s">
        <v>116</v>
      </c>
      <c r="AC12" s="40" t="s">
        <v>116</v>
      </c>
      <c r="AD12" s="44" t="s">
        <v>379</v>
      </c>
      <c r="AE12" s="121" t="s">
        <v>395</v>
      </c>
      <c r="AF12" s="121" t="s">
        <v>400</v>
      </c>
      <c r="AG12" s="171" t="s">
        <v>21</v>
      </c>
      <c r="AH12" s="121" t="s">
        <v>21</v>
      </c>
      <c r="AI12" s="40" t="s">
        <v>78</v>
      </c>
      <c r="AJ12" s="171" t="s">
        <v>21</v>
      </c>
      <c r="AK12" s="365" t="s">
        <v>400</v>
      </c>
      <c r="AL12" s="30">
        <f t="shared" si="0"/>
        <v>0</v>
      </c>
      <c r="AM12" s="25">
        <f t="shared" si="1"/>
        <v>22</v>
      </c>
      <c r="AN12" s="26">
        <f t="shared" si="2"/>
        <v>9</v>
      </c>
      <c r="AO12" s="29">
        <f t="shared" si="3"/>
        <v>9</v>
      </c>
      <c r="AP12" s="409"/>
      <c r="AS12"/>
      <c r="AT12"/>
    </row>
    <row r="13" spans="1:46" ht="22" customHeight="1">
      <c r="A13" s="701"/>
      <c r="B13" s="54">
        <v>7</v>
      </c>
      <c r="C13" s="710" t="s">
        <v>29</v>
      </c>
      <c r="D13" s="711"/>
      <c r="E13" s="712" t="s">
        <v>28</v>
      </c>
      <c r="F13" s="713"/>
      <c r="G13" s="142" t="s">
        <v>379</v>
      </c>
      <c r="H13" s="43" t="s">
        <v>379</v>
      </c>
      <c r="I13" s="43" t="s">
        <v>379</v>
      </c>
      <c r="J13" s="43" t="s">
        <v>379</v>
      </c>
      <c r="K13" s="43" t="s">
        <v>382</v>
      </c>
      <c r="L13" s="50" t="s">
        <v>380</v>
      </c>
      <c r="M13" s="43" t="s">
        <v>1</v>
      </c>
      <c r="N13" s="43" t="s">
        <v>388</v>
      </c>
      <c r="O13" s="43" t="s">
        <v>379</v>
      </c>
      <c r="P13" s="43" t="s">
        <v>379</v>
      </c>
      <c r="Q13" s="43" t="s">
        <v>388</v>
      </c>
      <c r="R13" s="43" t="s">
        <v>387</v>
      </c>
      <c r="S13" s="50" t="s">
        <v>21</v>
      </c>
      <c r="T13" s="43" t="s">
        <v>1</v>
      </c>
      <c r="U13" s="43" t="s">
        <v>388</v>
      </c>
      <c r="V13" s="43" t="s">
        <v>388</v>
      </c>
      <c r="W13" s="43" t="s">
        <v>388</v>
      </c>
      <c r="X13" s="43" t="s">
        <v>388</v>
      </c>
      <c r="Y13" s="43" t="s">
        <v>388</v>
      </c>
      <c r="Z13" s="50" t="s">
        <v>394</v>
      </c>
      <c r="AA13" s="43" t="s">
        <v>1</v>
      </c>
      <c r="AB13" s="43" t="s">
        <v>388</v>
      </c>
      <c r="AC13" s="109" t="s">
        <v>388</v>
      </c>
      <c r="AD13" s="43" t="s">
        <v>379</v>
      </c>
      <c r="AE13" s="50" t="s">
        <v>21</v>
      </c>
      <c r="AF13" s="43" t="s">
        <v>387</v>
      </c>
      <c r="AG13" s="50" t="s">
        <v>21</v>
      </c>
      <c r="AH13" s="43" t="s">
        <v>1</v>
      </c>
      <c r="AI13" s="43" t="s">
        <v>388</v>
      </c>
      <c r="AJ13" s="43" t="s">
        <v>388</v>
      </c>
      <c r="AK13" s="132" t="s">
        <v>387</v>
      </c>
      <c r="AL13" s="369">
        <f t="shared" si="0"/>
        <v>0</v>
      </c>
      <c r="AM13" s="260">
        <f t="shared" si="1"/>
        <v>22</v>
      </c>
      <c r="AN13" s="32">
        <f t="shared" si="2"/>
        <v>9</v>
      </c>
      <c r="AO13" s="167">
        <f t="shared" si="3"/>
        <v>9</v>
      </c>
      <c r="AP13" s="10"/>
    </row>
    <row r="14" spans="1:46" ht="22" customHeight="1">
      <c r="A14" s="701"/>
      <c r="B14" s="353">
        <v>8</v>
      </c>
      <c r="C14" s="714" t="s">
        <v>25</v>
      </c>
      <c r="D14" s="715"/>
      <c r="E14" s="785" t="s">
        <v>30</v>
      </c>
      <c r="F14" s="771"/>
      <c r="G14" s="73" t="s">
        <v>379</v>
      </c>
      <c r="H14" s="39" t="s">
        <v>403</v>
      </c>
      <c r="I14" s="39" t="s">
        <v>407</v>
      </c>
      <c r="J14" s="39" t="s">
        <v>400</v>
      </c>
      <c r="K14" s="39" t="s">
        <v>403</v>
      </c>
      <c r="L14" s="137" t="s">
        <v>21</v>
      </c>
      <c r="M14" s="79" t="s">
        <v>21</v>
      </c>
      <c r="N14" s="39" t="s">
        <v>400</v>
      </c>
      <c r="O14" s="39" t="s">
        <v>403</v>
      </c>
      <c r="P14" s="40" t="s">
        <v>400</v>
      </c>
      <c r="Q14" s="233" t="s">
        <v>21</v>
      </c>
      <c r="R14" s="261" t="s">
        <v>400</v>
      </c>
      <c r="S14" s="39" t="s">
        <v>379</v>
      </c>
      <c r="T14" s="79" t="s">
        <v>21</v>
      </c>
      <c r="U14" s="75" t="s">
        <v>387</v>
      </c>
      <c r="V14" s="75" t="s">
        <v>2</v>
      </c>
      <c r="W14" s="39" t="s">
        <v>400</v>
      </c>
      <c r="X14" s="39" t="s">
        <v>388</v>
      </c>
      <c r="Y14" s="39" t="s">
        <v>400</v>
      </c>
      <c r="Z14" s="48" t="s">
        <v>21</v>
      </c>
      <c r="AA14" s="79" t="s">
        <v>21</v>
      </c>
      <c r="AB14" s="39" t="s">
        <v>400</v>
      </c>
      <c r="AC14" s="79" t="s">
        <v>400</v>
      </c>
      <c r="AD14" s="39" t="s">
        <v>379</v>
      </c>
      <c r="AE14" s="39" t="s">
        <v>128</v>
      </c>
      <c r="AF14" s="39" t="s">
        <v>403</v>
      </c>
      <c r="AG14" s="137" t="s">
        <v>21</v>
      </c>
      <c r="AH14" s="79" t="s">
        <v>21</v>
      </c>
      <c r="AI14" s="39" t="s">
        <v>403</v>
      </c>
      <c r="AJ14" s="39" t="s">
        <v>400</v>
      </c>
      <c r="AK14" s="393" t="s">
        <v>21</v>
      </c>
      <c r="AL14" s="267">
        <f t="shared" si="0"/>
        <v>0</v>
      </c>
      <c r="AM14" s="21">
        <f t="shared" si="1"/>
        <v>22</v>
      </c>
      <c r="AN14" s="22">
        <f t="shared" si="2"/>
        <v>9</v>
      </c>
      <c r="AO14" s="27">
        <f t="shared" si="3"/>
        <v>9</v>
      </c>
      <c r="AP14" s="243"/>
      <c r="AQ14" s="470" t="s">
        <v>306</v>
      </c>
      <c r="AR14" s="700"/>
      <c r="AS14" s="700"/>
      <c r="AT14"/>
    </row>
    <row r="15" spans="1:46" ht="21.75" customHeight="1">
      <c r="A15" s="19" t="s">
        <v>80</v>
      </c>
      <c r="B15" s="301">
        <v>9</v>
      </c>
      <c r="C15" s="684" t="s">
        <v>49</v>
      </c>
      <c r="D15" s="685"/>
      <c r="E15" s="698" t="s">
        <v>31</v>
      </c>
      <c r="F15" s="699"/>
      <c r="G15" s="70" t="s">
        <v>381</v>
      </c>
      <c r="H15" s="59" t="s">
        <v>400</v>
      </c>
      <c r="I15" s="40" t="s">
        <v>400</v>
      </c>
      <c r="J15" s="40" t="s">
        <v>400</v>
      </c>
      <c r="K15" s="224" t="s">
        <v>411</v>
      </c>
      <c r="L15" s="114" t="s">
        <v>21</v>
      </c>
      <c r="M15" s="89" t="s">
        <v>21</v>
      </c>
      <c r="N15" s="224" t="s">
        <v>89</v>
      </c>
      <c r="O15" s="59" t="s">
        <v>400</v>
      </c>
      <c r="P15" s="91" t="s">
        <v>0</v>
      </c>
      <c r="Q15" s="68" t="s">
        <v>400</v>
      </c>
      <c r="R15" s="134" t="s">
        <v>20</v>
      </c>
      <c r="S15" s="165" t="s">
        <v>21</v>
      </c>
      <c r="T15" s="89" t="s">
        <v>21</v>
      </c>
      <c r="U15" s="59" t="s">
        <v>403</v>
      </c>
      <c r="V15" s="59" t="s">
        <v>51</v>
      </c>
      <c r="W15" s="59" t="s">
        <v>400</v>
      </c>
      <c r="X15" s="40" t="s">
        <v>388</v>
      </c>
      <c r="Y15" s="40" t="s">
        <v>400</v>
      </c>
      <c r="Z15" s="114" t="s">
        <v>21</v>
      </c>
      <c r="AA15" s="89" t="s">
        <v>21</v>
      </c>
      <c r="AB15" s="40" t="s">
        <v>402</v>
      </c>
      <c r="AC15" s="89" t="s">
        <v>403</v>
      </c>
      <c r="AD15" s="40" t="s">
        <v>379</v>
      </c>
      <c r="AE15" s="137" t="s">
        <v>21</v>
      </c>
      <c r="AF15" s="64" t="s">
        <v>400</v>
      </c>
      <c r="AG15" s="40" t="s">
        <v>116</v>
      </c>
      <c r="AH15" s="89" t="s">
        <v>21</v>
      </c>
      <c r="AI15" s="40" t="s">
        <v>400</v>
      </c>
      <c r="AJ15" s="59" t="s">
        <v>403</v>
      </c>
      <c r="AK15" s="147" t="s">
        <v>128</v>
      </c>
      <c r="AL15" s="268">
        <f t="shared" si="0"/>
        <v>1</v>
      </c>
      <c r="AM15" s="25">
        <f t="shared" si="1"/>
        <v>19</v>
      </c>
      <c r="AN15" s="26">
        <v>9</v>
      </c>
      <c r="AO15" s="29">
        <f t="shared" si="3"/>
        <v>10</v>
      </c>
      <c r="AP15" s="10"/>
      <c r="AQ15" t="s">
        <v>145</v>
      </c>
      <c r="AR15" s="96"/>
      <c r="AS15" s="96"/>
    </row>
    <row r="16" spans="1:46" ht="21.75" customHeight="1">
      <c r="A16" s="19"/>
      <c r="B16" s="301">
        <v>10</v>
      </c>
      <c r="C16" s="684" t="s">
        <v>114</v>
      </c>
      <c r="D16" s="685"/>
      <c r="E16" s="698" t="s">
        <v>31</v>
      </c>
      <c r="F16" s="699"/>
      <c r="G16" s="70" t="s">
        <v>379</v>
      </c>
      <c r="H16" s="40" t="s">
        <v>400</v>
      </c>
      <c r="I16" s="40" t="s">
        <v>400</v>
      </c>
      <c r="J16" s="40" t="s">
        <v>403</v>
      </c>
      <c r="K16" s="59" t="s">
        <v>400</v>
      </c>
      <c r="L16" s="114" t="s">
        <v>21</v>
      </c>
      <c r="M16" s="68" t="s">
        <v>21</v>
      </c>
      <c r="N16" s="59" t="s">
        <v>400</v>
      </c>
      <c r="O16" s="40" t="s">
        <v>403</v>
      </c>
      <c r="P16" s="40" t="s">
        <v>400</v>
      </c>
      <c r="Q16" s="40" t="s">
        <v>400</v>
      </c>
      <c r="R16" s="170" t="s">
        <v>21</v>
      </c>
      <c r="S16" s="40" t="s">
        <v>388</v>
      </c>
      <c r="T16" s="68" t="s">
        <v>21</v>
      </c>
      <c r="U16" s="40" t="s">
        <v>400</v>
      </c>
      <c r="V16" s="40" t="s">
        <v>388</v>
      </c>
      <c r="W16" s="40" t="s">
        <v>400</v>
      </c>
      <c r="X16" s="134" t="s">
        <v>20</v>
      </c>
      <c r="Y16" s="134" t="s">
        <v>20</v>
      </c>
      <c r="Z16" s="134" t="s">
        <v>20</v>
      </c>
      <c r="AA16" s="134" t="s">
        <v>20</v>
      </c>
      <c r="AB16" s="134" t="s">
        <v>20</v>
      </c>
      <c r="AC16" s="89" t="s">
        <v>162</v>
      </c>
      <c r="AD16" s="40" t="s">
        <v>379</v>
      </c>
      <c r="AE16" s="40" t="s">
        <v>388</v>
      </c>
      <c r="AF16" s="59" t="s">
        <v>400</v>
      </c>
      <c r="AG16" s="195" t="s">
        <v>21</v>
      </c>
      <c r="AH16" s="68" t="s">
        <v>21</v>
      </c>
      <c r="AI16" s="40" t="s">
        <v>142</v>
      </c>
      <c r="AJ16" s="57" t="s">
        <v>21</v>
      </c>
      <c r="AK16" s="65" t="s">
        <v>400</v>
      </c>
      <c r="AL16" s="268">
        <f t="shared" si="0"/>
        <v>0</v>
      </c>
      <c r="AM16" s="25">
        <f t="shared" si="1"/>
        <v>19</v>
      </c>
      <c r="AN16" s="26">
        <f t="shared" si="2"/>
        <v>7</v>
      </c>
      <c r="AO16" s="29">
        <f t="shared" si="3"/>
        <v>7</v>
      </c>
      <c r="AP16" s="10"/>
      <c r="AQ16" s="1">
        <v>212</v>
      </c>
      <c r="AR16" s="96"/>
      <c r="AS16" s="96"/>
    </row>
    <row r="17" spans="1:83" ht="21.75" customHeight="1">
      <c r="A17" s="19"/>
      <c r="B17" s="301">
        <v>11</v>
      </c>
      <c r="C17" s="696" t="s">
        <v>192</v>
      </c>
      <c r="D17" s="697"/>
      <c r="E17" s="698" t="s">
        <v>31</v>
      </c>
      <c r="F17" s="699"/>
      <c r="G17" s="58" t="s">
        <v>379</v>
      </c>
      <c r="H17" s="59" t="s">
        <v>406</v>
      </c>
      <c r="I17" s="137" t="s">
        <v>171</v>
      </c>
      <c r="J17" s="40" t="s">
        <v>128</v>
      </c>
      <c r="K17" s="40" t="s">
        <v>386</v>
      </c>
      <c r="L17" s="40" t="s">
        <v>387</v>
      </c>
      <c r="M17" s="74" t="s">
        <v>21</v>
      </c>
      <c r="N17" s="59" t="s">
        <v>400</v>
      </c>
      <c r="O17" s="224" t="s">
        <v>411</v>
      </c>
      <c r="P17" s="59" t="s">
        <v>400</v>
      </c>
      <c r="Q17" s="59" t="s">
        <v>402</v>
      </c>
      <c r="R17" s="40" t="s">
        <v>403</v>
      </c>
      <c r="S17" s="114" t="s">
        <v>21</v>
      </c>
      <c r="T17" s="74" t="s">
        <v>21</v>
      </c>
      <c r="U17" s="59" t="s">
        <v>400</v>
      </c>
      <c r="V17" s="59" t="s">
        <v>388</v>
      </c>
      <c r="W17" s="59" t="s">
        <v>403</v>
      </c>
      <c r="X17" s="224" t="s">
        <v>411</v>
      </c>
      <c r="Y17" s="59" t="s">
        <v>400</v>
      </c>
      <c r="Z17" s="59" t="s">
        <v>124</v>
      </c>
      <c r="AA17" s="74" t="s">
        <v>21</v>
      </c>
      <c r="AB17" s="59" t="s">
        <v>403</v>
      </c>
      <c r="AC17" s="89" t="s">
        <v>400</v>
      </c>
      <c r="AD17" s="59" t="s">
        <v>379</v>
      </c>
      <c r="AE17" s="114" t="s">
        <v>389</v>
      </c>
      <c r="AF17" s="40" t="s">
        <v>403</v>
      </c>
      <c r="AG17" s="40" t="s">
        <v>117</v>
      </c>
      <c r="AH17" s="74" t="s">
        <v>21</v>
      </c>
      <c r="AI17" s="114" t="s">
        <v>122</v>
      </c>
      <c r="AJ17" s="59" t="s">
        <v>403</v>
      </c>
      <c r="AK17" s="147" t="s">
        <v>400</v>
      </c>
      <c r="AL17" s="268">
        <f t="shared" si="0"/>
        <v>0</v>
      </c>
      <c r="AM17" s="25">
        <f t="shared" si="1"/>
        <v>21</v>
      </c>
      <c r="AN17" s="26">
        <v>9</v>
      </c>
      <c r="AO17" s="29">
        <f t="shared" si="3"/>
        <v>9</v>
      </c>
      <c r="AP17" s="10"/>
      <c r="AQ17" s="689"/>
      <c r="AR17" s="689"/>
      <c r="AS17" s="653"/>
      <c r="AT17" s="653"/>
      <c r="AU17" s="156"/>
      <c r="AV17" s="157"/>
      <c r="AW17" s="157"/>
      <c r="AX17" s="218"/>
      <c r="AY17" s="157"/>
      <c r="AZ17" s="218"/>
      <c r="BA17" s="157"/>
      <c r="BB17" s="203"/>
      <c r="BC17" s="157"/>
      <c r="BD17" s="157"/>
      <c r="BE17" s="157"/>
      <c r="BF17" s="157"/>
      <c r="BG17" s="157"/>
      <c r="BH17" s="157"/>
      <c r="BI17" s="156"/>
      <c r="BJ17" s="157"/>
      <c r="BK17" s="157"/>
      <c r="BL17" s="158"/>
      <c r="BM17" s="158"/>
      <c r="BN17" s="157"/>
      <c r="BO17" s="157"/>
      <c r="BP17" s="302"/>
      <c r="BQ17" s="157"/>
      <c r="BR17" s="157"/>
      <c r="BS17" s="158"/>
      <c r="BT17" s="157"/>
      <c r="BU17" s="299"/>
      <c r="BV17" s="157"/>
      <c r="BW17" s="157"/>
      <c r="BX17" s="157"/>
      <c r="BY17" s="156"/>
      <c r="BZ17" s="159"/>
      <c r="CA17" s="161"/>
      <c r="CB17" s="160"/>
      <c r="CC17" s="160"/>
    </row>
    <row r="18" spans="1:83" ht="21.75" customHeight="1">
      <c r="A18" s="19"/>
      <c r="B18" s="301">
        <v>12</v>
      </c>
      <c r="C18" s="682" t="s">
        <v>39</v>
      </c>
      <c r="D18" s="683"/>
      <c r="E18" s="698" t="s">
        <v>31</v>
      </c>
      <c r="F18" s="699"/>
      <c r="G18" s="58" t="s">
        <v>379</v>
      </c>
      <c r="H18" s="137" t="s">
        <v>21</v>
      </c>
      <c r="I18" s="59" t="s">
        <v>403</v>
      </c>
      <c r="J18" s="59" t="s">
        <v>400</v>
      </c>
      <c r="K18" s="59" t="s">
        <v>400</v>
      </c>
      <c r="L18" s="114" t="s">
        <v>392</v>
      </c>
      <c r="M18" s="47" t="s">
        <v>21</v>
      </c>
      <c r="N18" s="59" t="s">
        <v>400</v>
      </c>
      <c r="O18" s="59" t="s">
        <v>400</v>
      </c>
      <c r="P18" s="114" t="s">
        <v>21</v>
      </c>
      <c r="Q18" s="59" t="s">
        <v>402</v>
      </c>
      <c r="R18" s="59" t="s">
        <v>400</v>
      </c>
      <c r="S18" s="59" t="s">
        <v>381</v>
      </c>
      <c r="T18" s="47" t="s">
        <v>21</v>
      </c>
      <c r="U18" s="40" t="s">
        <v>141</v>
      </c>
      <c r="V18" s="40" t="s">
        <v>400</v>
      </c>
      <c r="W18" s="59" t="s">
        <v>400</v>
      </c>
      <c r="X18" s="40" t="s">
        <v>403</v>
      </c>
      <c r="Y18" s="59" t="s">
        <v>403</v>
      </c>
      <c r="Z18" s="114" t="s">
        <v>394</v>
      </c>
      <c r="AA18" s="47" t="s">
        <v>21</v>
      </c>
      <c r="AB18" s="59" t="s">
        <v>400</v>
      </c>
      <c r="AC18" s="89" t="s">
        <v>403</v>
      </c>
      <c r="AD18" s="59" t="s">
        <v>383</v>
      </c>
      <c r="AE18" s="40" t="s">
        <v>2</v>
      </c>
      <c r="AF18" s="40" t="s">
        <v>2</v>
      </c>
      <c r="AG18" s="59" t="s">
        <v>379</v>
      </c>
      <c r="AH18" s="47" t="s">
        <v>21</v>
      </c>
      <c r="AI18" s="114" t="s">
        <v>21</v>
      </c>
      <c r="AJ18" s="59" t="s">
        <v>403</v>
      </c>
      <c r="AK18" s="147" t="s">
        <v>400</v>
      </c>
      <c r="AL18" s="268">
        <f t="shared" si="0"/>
        <v>0</v>
      </c>
      <c r="AM18" s="25">
        <f t="shared" si="1"/>
        <v>22</v>
      </c>
      <c r="AN18" s="26">
        <f t="shared" si="2"/>
        <v>9</v>
      </c>
      <c r="AO18" s="29">
        <f t="shared" si="3"/>
        <v>9</v>
      </c>
      <c r="AP18" s="238"/>
      <c r="AQ18" s="689"/>
      <c r="AR18" s="689"/>
      <c r="AS18" s="653"/>
      <c r="AT18" s="653"/>
      <c r="AU18" s="156"/>
      <c r="AV18" s="157"/>
      <c r="AW18" s="157"/>
      <c r="AX18" s="158"/>
      <c r="AY18" s="156"/>
      <c r="AZ18" s="156"/>
      <c r="BA18" s="156"/>
      <c r="BB18" s="156"/>
      <c r="BC18" s="157"/>
      <c r="BD18" s="206"/>
      <c r="BE18" s="206"/>
      <c r="BF18" s="218"/>
      <c r="BG18" s="206"/>
      <c r="BH18" s="16"/>
      <c r="BI18" s="156"/>
      <c r="BJ18" s="157"/>
      <c r="BK18" s="206"/>
      <c r="BL18" s="218"/>
      <c r="BM18" s="218"/>
      <c r="BN18" s="218"/>
      <c r="BO18" s="206"/>
      <c r="BP18" s="203"/>
      <c r="BQ18" s="157"/>
      <c r="BR18" s="206"/>
      <c r="BS18" s="218"/>
      <c r="BT18" s="218"/>
      <c r="BU18" s="306"/>
      <c r="BV18" s="218"/>
      <c r="BW18" s="203"/>
      <c r="BX18" s="157"/>
      <c r="BY18" s="157"/>
      <c r="BZ18" s="159"/>
      <c r="CA18" s="161"/>
      <c r="CB18" s="160"/>
      <c r="CC18" s="160"/>
    </row>
    <row r="19" spans="1:83" ht="22" customHeight="1">
      <c r="A19" s="19"/>
      <c r="B19" s="301">
        <v>13</v>
      </c>
      <c r="C19" s="690" t="s">
        <v>38</v>
      </c>
      <c r="D19" s="691"/>
      <c r="E19" s="686" t="s">
        <v>31</v>
      </c>
      <c r="F19" s="686"/>
      <c r="G19" s="70" t="s">
        <v>116</v>
      </c>
      <c r="H19" s="40" t="s">
        <v>400</v>
      </c>
      <c r="I19" s="40" t="s">
        <v>400</v>
      </c>
      <c r="J19" s="40" t="s">
        <v>406</v>
      </c>
      <c r="K19" s="59" t="s">
        <v>403</v>
      </c>
      <c r="L19" s="114" t="s">
        <v>389</v>
      </c>
      <c r="M19" s="40" t="s">
        <v>21</v>
      </c>
      <c r="N19" s="91" t="s">
        <v>42</v>
      </c>
      <c r="O19" s="40" t="s">
        <v>400</v>
      </c>
      <c r="P19" s="40" t="s">
        <v>403</v>
      </c>
      <c r="Q19" s="40" t="s">
        <v>400</v>
      </c>
      <c r="R19" s="59" t="s">
        <v>400</v>
      </c>
      <c r="S19" s="57" t="s">
        <v>21</v>
      </c>
      <c r="T19" s="40" t="s">
        <v>21</v>
      </c>
      <c r="U19" s="59" t="s">
        <v>403</v>
      </c>
      <c r="V19" s="91" t="s">
        <v>42</v>
      </c>
      <c r="W19" s="40" t="s">
        <v>400</v>
      </c>
      <c r="X19" s="40" t="s">
        <v>403</v>
      </c>
      <c r="Y19" s="59" t="s">
        <v>400</v>
      </c>
      <c r="Z19" s="40" t="s">
        <v>388</v>
      </c>
      <c r="AA19" s="40" t="s">
        <v>21</v>
      </c>
      <c r="AB19" s="40" t="s">
        <v>400</v>
      </c>
      <c r="AC19" s="137" t="s">
        <v>389</v>
      </c>
      <c r="AD19" s="40" t="s">
        <v>116</v>
      </c>
      <c r="AE19" s="57" t="s">
        <v>21</v>
      </c>
      <c r="AF19" s="59" t="s">
        <v>403</v>
      </c>
      <c r="AG19" s="57" t="s">
        <v>21</v>
      </c>
      <c r="AH19" s="40" t="s">
        <v>21</v>
      </c>
      <c r="AI19" s="40" t="s">
        <v>400</v>
      </c>
      <c r="AJ19" s="40" t="s">
        <v>400</v>
      </c>
      <c r="AK19" s="65" t="s">
        <v>400</v>
      </c>
      <c r="AL19" s="268">
        <f t="shared" si="0"/>
        <v>2</v>
      </c>
      <c r="AM19" s="25">
        <f t="shared" si="1"/>
        <v>20</v>
      </c>
      <c r="AN19" s="26">
        <f t="shared" si="2"/>
        <v>9</v>
      </c>
      <c r="AO19" s="29">
        <f t="shared" si="3"/>
        <v>11</v>
      </c>
      <c r="AP19" s="10"/>
      <c r="AQ19" s="303"/>
      <c r="AR19" s="692"/>
      <c r="AS19" s="692"/>
      <c r="AT19" s="693"/>
      <c r="AU19" s="693"/>
      <c r="AV19" s="158"/>
      <c r="AW19" s="157"/>
      <c r="AX19" s="157"/>
      <c r="AY19" s="158"/>
      <c r="AZ19" s="157"/>
      <c r="BA19" s="157"/>
      <c r="BB19" s="157"/>
      <c r="BC19" s="157"/>
      <c r="BD19" s="157"/>
      <c r="BE19" s="157"/>
      <c r="BF19" s="158"/>
      <c r="BG19" s="157"/>
      <c r="BH19" s="158"/>
      <c r="BI19" s="158"/>
      <c r="BJ19" s="158"/>
      <c r="BK19" s="157"/>
      <c r="BL19" s="158"/>
      <c r="BM19" s="157"/>
      <c r="BN19" s="157"/>
      <c r="BO19" s="304"/>
      <c r="BP19" s="157"/>
      <c r="BQ19" s="157"/>
      <c r="BR19" s="157"/>
      <c r="BS19" s="157"/>
      <c r="BT19" s="158"/>
      <c r="BU19" s="157"/>
      <c r="BV19" s="299"/>
      <c r="BW19" s="157"/>
      <c r="BX19" s="158"/>
      <c r="BY19" s="157"/>
      <c r="BZ19" s="158"/>
      <c r="CA19" s="305"/>
      <c r="CB19" s="161"/>
      <c r="CC19" s="161"/>
      <c r="CD19" s="161"/>
    </row>
    <row r="20" spans="1:83" ht="22" customHeight="1">
      <c r="A20" s="19"/>
      <c r="B20" s="301">
        <v>14</v>
      </c>
      <c r="C20" s="684" t="s">
        <v>200</v>
      </c>
      <c r="D20" s="685"/>
      <c r="E20" s="694" t="s">
        <v>31</v>
      </c>
      <c r="F20" s="695"/>
      <c r="G20" s="58" t="s">
        <v>379</v>
      </c>
      <c r="H20" s="59" t="s">
        <v>400</v>
      </c>
      <c r="I20" s="40" t="s">
        <v>408</v>
      </c>
      <c r="J20" s="57" t="s">
        <v>21</v>
      </c>
      <c r="K20" s="40" t="s">
        <v>403</v>
      </c>
      <c r="L20" s="40" t="s">
        <v>388</v>
      </c>
      <c r="M20" s="47" t="s">
        <v>21</v>
      </c>
      <c r="N20" s="40" t="s">
        <v>400</v>
      </c>
      <c r="O20" s="40" t="s">
        <v>403</v>
      </c>
      <c r="P20" s="40" t="s">
        <v>403</v>
      </c>
      <c r="Q20" s="59" t="s">
        <v>402</v>
      </c>
      <c r="R20" s="40" t="s">
        <v>400</v>
      </c>
      <c r="S20" s="57" t="s">
        <v>21</v>
      </c>
      <c r="T20" s="47" t="s">
        <v>21</v>
      </c>
      <c r="U20" s="40" t="s">
        <v>400</v>
      </c>
      <c r="V20" s="40" t="s">
        <v>400</v>
      </c>
      <c r="W20" s="137" t="s">
        <v>21</v>
      </c>
      <c r="X20" s="40" t="s">
        <v>403</v>
      </c>
      <c r="Y20" s="40" t="s">
        <v>400</v>
      </c>
      <c r="Z20" s="383" t="s">
        <v>21</v>
      </c>
      <c r="AA20" s="47" t="s">
        <v>21</v>
      </c>
      <c r="AB20" s="40" t="s">
        <v>403</v>
      </c>
      <c r="AC20" s="89" t="s">
        <v>400</v>
      </c>
      <c r="AD20" s="59" t="s">
        <v>382</v>
      </c>
      <c r="AE20" s="40" t="s">
        <v>387</v>
      </c>
      <c r="AF20" s="40" t="s">
        <v>403</v>
      </c>
      <c r="AG20" s="57" t="s">
        <v>21</v>
      </c>
      <c r="AH20" s="47" t="s">
        <v>21</v>
      </c>
      <c r="AI20" s="40" t="s">
        <v>400</v>
      </c>
      <c r="AJ20" s="59" t="s">
        <v>400</v>
      </c>
      <c r="AK20" s="65" t="s">
        <v>400</v>
      </c>
      <c r="AL20" s="268">
        <f t="shared" si="0"/>
        <v>0</v>
      </c>
      <c r="AM20" s="25">
        <f t="shared" si="1"/>
        <v>22</v>
      </c>
      <c r="AN20" s="26">
        <f t="shared" si="2"/>
        <v>9</v>
      </c>
      <c r="AO20" s="29">
        <f t="shared" si="3"/>
        <v>9</v>
      </c>
      <c r="AP20" s="10"/>
      <c r="AQ20" s="689"/>
      <c r="AR20" s="689"/>
      <c r="AS20" s="653"/>
      <c r="AT20" s="653"/>
      <c r="AU20" s="304"/>
      <c r="AV20" s="158"/>
      <c r="AW20" s="158"/>
      <c r="AX20" s="158"/>
      <c r="AY20" s="157"/>
      <c r="AZ20" s="157"/>
      <c r="BA20" s="158"/>
      <c r="BB20" s="156"/>
      <c r="BC20" s="158"/>
      <c r="BD20" s="158"/>
      <c r="BE20" s="489"/>
      <c r="BF20" s="157"/>
      <c r="BG20" s="156"/>
      <c r="BH20" s="158"/>
      <c r="BI20" s="158"/>
      <c r="BJ20" s="489"/>
      <c r="BK20" s="157"/>
      <c r="BL20" s="158"/>
      <c r="BM20" s="157"/>
      <c r="BN20" s="158"/>
      <c r="BO20" s="158"/>
      <c r="BP20" s="203"/>
      <c r="BQ20" s="158"/>
      <c r="BR20" s="304"/>
      <c r="BS20" s="304"/>
      <c r="BT20" s="157"/>
      <c r="BU20" s="156"/>
      <c r="BV20" s="158"/>
      <c r="BW20" s="156"/>
      <c r="BX20" s="158"/>
      <c r="BY20" s="158"/>
      <c r="BZ20" s="159"/>
      <c r="CA20" s="161"/>
      <c r="CB20" s="160"/>
      <c r="CC20" s="160"/>
    </row>
    <row r="21" spans="1:83" ht="22" customHeight="1">
      <c r="A21" s="19"/>
      <c r="B21" s="301">
        <v>15</v>
      </c>
      <c r="C21" s="684" t="s">
        <v>26</v>
      </c>
      <c r="D21" s="685"/>
      <c r="E21" s="686" t="s">
        <v>31</v>
      </c>
      <c r="F21" s="686"/>
      <c r="G21" s="70" t="s">
        <v>382</v>
      </c>
      <c r="H21" s="59" t="s">
        <v>403</v>
      </c>
      <c r="I21" s="40" t="s">
        <v>400</v>
      </c>
      <c r="J21" s="40" t="s">
        <v>403</v>
      </c>
      <c r="K21" s="59" t="s">
        <v>403</v>
      </c>
      <c r="L21" s="137" t="s">
        <v>21</v>
      </c>
      <c r="M21" s="59" t="s">
        <v>21</v>
      </c>
      <c r="N21" s="40" t="s">
        <v>403</v>
      </c>
      <c r="O21" s="59" t="s">
        <v>400</v>
      </c>
      <c r="P21" s="40" t="s">
        <v>400</v>
      </c>
      <c r="Q21" s="59" t="s">
        <v>402</v>
      </c>
      <c r="R21" s="59" t="s">
        <v>400</v>
      </c>
      <c r="S21" s="114" t="s">
        <v>21</v>
      </c>
      <c r="T21" s="59" t="s">
        <v>21</v>
      </c>
      <c r="U21" s="40" t="s">
        <v>400</v>
      </c>
      <c r="V21" s="40" t="s">
        <v>2</v>
      </c>
      <c r="W21" s="40" t="s">
        <v>400</v>
      </c>
      <c r="X21" s="40" t="s">
        <v>400</v>
      </c>
      <c r="Y21" s="57" t="s">
        <v>21</v>
      </c>
      <c r="Z21" s="59" t="s">
        <v>388</v>
      </c>
      <c r="AA21" s="59" t="s">
        <v>21</v>
      </c>
      <c r="AB21" s="59" t="s">
        <v>400</v>
      </c>
      <c r="AC21" s="89" t="s">
        <v>400</v>
      </c>
      <c r="AD21" s="40" t="s">
        <v>379</v>
      </c>
      <c r="AE21" s="57" t="s">
        <v>21</v>
      </c>
      <c r="AF21" s="59" t="s">
        <v>403</v>
      </c>
      <c r="AG21" s="57" t="s">
        <v>21</v>
      </c>
      <c r="AH21" s="59" t="s">
        <v>21</v>
      </c>
      <c r="AI21" s="40" t="s">
        <v>406</v>
      </c>
      <c r="AJ21" s="59" t="s">
        <v>403</v>
      </c>
      <c r="AK21" s="65" t="s">
        <v>403</v>
      </c>
      <c r="AL21" s="268">
        <f t="shared" si="0"/>
        <v>0</v>
      </c>
      <c r="AM21" s="25">
        <f t="shared" si="1"/>
        <v>22</v>
      </c>
      <c r="AN21" s="26">
        <f t="shared" si="2"/>
        <v>9</v>
      </c>
      <c r="AO21" s="29">
        <f t="shared" si="3"/>
        <v>9</v>
      </c>
      <c r="AP21" s="10"/>
      <c r="AQ21" s="652"/>
      <c r="AR21" s="652"/>
      <c r="AS21" s="653"/>
      <c r="AT21" s="653"/>
      <c r="AU21" s="203"/>
      <c r="AV21" s="158"/>
      <c r="AW21" s="157"/>
      <c r="AX21" s="158"/>
      <c r="AY21" s="158"/>
      <c r="AZ21" s="157"/>
      <c r="BA21" s="157"/>
      <c r="BB21" s="203"/>
      <c r="BC21" s="158"/>
      <c r="BD21" s="157"/>
      <c r="BE21" s="156"/>
      <c r="BF21" s="158"/>
      <c r="BG21" s="158"/>
      <c r="BH21" s="157"/>
      <c r="BI21" s="158"/>
      <c r="BJ21" s="158"/>
      <c r="BK21" s="158"/>
      <c r="BL21" s="158"/>
      <c r="BM21" s="158"/>
      <c r="BN21" s="158"/>
      <c r="BO21" s="158"/>
      <c r="BP21" s="203"/>
      <c r="BQ21" s="158"/>
      <c r="BR21" s="157"/>
      <c r="BS21" s="158"/>
      <c r="BT21" s="158"/>
      <c r="BU21" s="158"/>
      <c r="BV21" s="156"/>
      <c r="BW21" s="158"/>
      <c r="BX21" s="158"/>
      <c r="BY21" s="156"/>
      <c r="BZ21" s="159"/>
      <c r="CA21" s="161"/>
      <c r="CB21" s="160"/>
      <c r="CC21" s="160"/>
    </row>
    <row r="22" spans="1:83" ht="22" customHeight="1">
      <c r="A22" s="19"/>
      <c r="B22" s="301">
        <v>16</v>
      </c>
      <c r="C22" s="687" t="s">
        <v>45</v>
      </c>
      <c r="D22" s="688"/>
      <c r="E22" s="686" t="s">
        <v>31</v>
      </c>
      <c r="F22" s="686"/>
      <c r="G22" s="490" t="s">
        <v>21</v>
      </c>
      <c r="H22" s="59" t="s">
        <v>400</v>
      </c>
      <c r="I22" s="40" t="s">
        <v>403</v>
      </c>
      <c r="J22" s="40" t="s">
        <v>400</v>
      </c>
      <c r="K22" s="40" t="s">
        <v>400</v>
      </c>
      <c r="L22" s="57" t="s">
        <v>21</v>
      </c>
      <c r="M22" s="59" t="s">
        <v>21</v>
      </c>
      <c r="N22" s="40" t="s">
        <v>400</v>
      </c>
      <c r="O22" s="59" t="s">
        <v>400</v>
      </c>
      <c r="P22" s="40" t="s">
        <v>400</v>
      </c>
      <c r="Q22" s="59" t="s">
        <v>400</v>
      </c>
      <c r="R22" s="40" t="s">
        <v>400</v>
      </c>
      <c r="S22" s="137" t="s">
        <v>21</v>
      </c>
      <c r="T22" s="59" t="s">
        <v>130</v>
      </c>
      <c r="U22" s="59" t="s">
        <v>400</v>
      </c>
      <c r="V22" s="59" t="s">
        <v>400</v>
      </c>
      <c r="W22" s="40" t="s">
        <v>400</v>
      </c>
      <c r="X22" s="40" t="s">
        <v>402</v>
      </c>
      <c r="Y22" s="40" t="s">
        <v>400</v>
      </c>
      <c r="Z22" s="57" t="s">
        <v>21</v>
      </c>
      <c r="AA22" s="59" t="s">
        <v>21</v>
      </c>
      <c r="AB22" s="57" t="s">
        <v>1</v>
      </c>
      <c r="AC22" s="89" t="s">
        <v>400</v>
      </c>
      <c r="AD22" s="40" t="s">
        <v>2</v>
      </c>
      <c r="AE22" s="59" t="s">
        <v>387</v>
      </c>
      <c r="AF22" s="40" t="s">
        <v>400</v>
      </c>
      <c r="AG22" s="40" t="s">
        <v>388</v>
      </c>
      <c r="AH22" s="59" t="s">
        <v>21</v>
      </c>
      <c r="AI22" s="40" t="s">
        <v>400</v>
      </c>
      <c r="AJ22" s="59" t="s">
        <v>403</v>
      </c>
      <c r="AK22" s="65" t="s">
        <v>400</v>
      </c>
      <c r="AL22" s="268">
        <f t="shared" si="0"/>
        <v>0</v>
      </c>
      <c r="AM22" s="25">
        <f t="shared" si="1"/>
        <v>22</v>
      </c>
      <c r="AN22" s="26">
        <f t="shared" si="2"/>
        <v>9</v>
      </c>
      <c r="AO22" s="29">
        <f t="shared" si="3"/>
        <v>9</v>
      </c>
      <c r="AP22" s="10"/>
      <c r="AQ22" s="689"/>
      <c r="AR22" s="689"/>
      <c r="AS22" s="653"/>
      <c r="AT22" s="653"/>
      <c r="AU22" s="304"/>
      <c r="AV22" s="158"/>
      <c r="AW22" s="158"/>
      <c r="AX22" s="158"/>
      <c r="AY22" s="157"/>
      <c r="AZ22" s="157"/>
      <c r="BA22" s="158"/>
      <c r="BB22" s="156"/>
      <c r="BC22" s="158"/>
      <c r="BD22" s="158"/>
      <c r="BE22" s="489"/>
      <c r="BF22" s="157"/>
      <c r="BG22" s="156"/>
      <c r="BH22" s="158"/>
      <c r="BI22" s="158"/>
      <c r="BJ22" s="489"/>
      <c r="BK22" s="157"/>
      <c r="BL22" s="158"/>
      <c r="BM22" s="157"/>
      <c r="BN22" s="158"/>
      <c r="BO22" s="158"/>
      <c r="BP22" s="203"/>
      <c r="BQ22" s="158"/>
      <c r="BR22" s="304"/>
      <c r="BS22" s="304"/>
      <c r="BT22" s="157"/>
      <c r="BU22" s="156"/>
      <c r="BV22" s="158"/>
      <c r="BW22" s="156"/>
      <c r="BX22" s="158"/>
      <c r="BY22" s="189"/>
    </row>
    <row r="23" spans="1:83" ht="22" customHeight="1">
      <c r="A23" s="19" t="s">
        <v>468</v>
      </c>
      <c r="B23" s="301">
        <v>17</v>
      </c>
      <c r="C23" s="682" t="s">
        <v>95</v>
      </c>
      <c r="D23" s="683"/>
      <c r="E23" s="673" t="s">
        <v>31</v>
      </c>
      <c r="F23" s="674"/>
      <c r="G23" s="70" t="s">
        <v>116</v>
      </c>
      <c r="H23" s="40" t="s">
        <v>128</v>
      </c>
      <c r="I23" s="40" t="s">
        <v>403</v>
      </c>
      <c r="J23" s="40" t="s">
        <v>403</v>
      </c>
      <c r="K23" s="59" t="s">
        <v>403</v>
      </c>
      <c r="L23" s="59" t="s">
        <v>387</v>
      </c>
      <c r="M23" s="64" t="s">
        <v>21</v>
      </c>
      <c r="N23" s="40" t="s">
        <v>403</v>
      </c>
      <c r="O23" s="40" t="s">
        <v>400</v>
      </c>
      <c r="P23" s="40" t="s">
        <v>403</v>
      </c>
      <c r="Q23" s="59" t="s">
        <v>402</v>
      </c>
      <c r="R23" s="59" t="s">
        <v>400</v>
      </c>
      <c r="S23" s="137" t="s">
        <v>21</v>
      </c>
      <c r="T23" s="64" t="s">
        <v>21</v>
      </c>
      <c r="U23" s="57" t="s">
        <v>21</v>
      </c>
      <c r="V23" s="59" t="s">
        <v>400</v>
      </c>
      <c r="W23" s="59" t="s">
        <v>410</v>
      </c>
      <c r="X23" s="40" t="s">
        <v>400</v>
      </c>
      <c r="Y23" s="59" t="s">
        <v>403</v>
      </c>
      <c r="Z23" s="114" t="s">
        <v>21</v>
      </c>
      <c r="AA23" s="64" t="s">
        <v>21</v>
      </c>
      <c r="AB23" s="59" t="s">
        <v>400</v>
      </c>
      <c r="AC23" s="68" t="s">
        <v>403</v>
      </c>
      <c r="AD23" s="40" t="s">
        <v>116</v>
      </c>
      <c r="AE23" s="40" t="s">
        <v>2</v>
      </c>
      <c r="AF23" s="59" t="s">
        <v>400</v>
      </c>
      <c r="AG23" s="137" t="s">
        <v>21</v>
      </c>
      <c r="AH23" s="64" t="s">
        <v>21</v>
      </c>
      <c r="AI23" s="40" t="s">
        <v>400</v>
      </c>
      <c r="AJ23" s="40" t="s">
        <v>400</v>
      </c>
      <c r="AK23" s="99" t="s">
        <v>21</v>
      </c>
      <c r="AL23" s="268">
        <f t="shared" si="0"/>
        <v>0</v>
      </c>
      <c r="AM23" s="25">
        <f t="shared" si="1"/>
        <v>22</v>
      </c>
      <c r="AN23" s="26">
        <f t="shared" si="2"/>
        <v>9</v>
      </c>
      <c r="AO23" s="29">
        <f t="shared" si="3"/>
        <v>9</v>
      </c>
      <c r="AP23" s="10"/>
      <c r="AR23" s="96"/>
      <c r="AS23" s="96"/>
    </row>
    <row r="24" spans="1:83" ht="22" customHeight="1">
      <c r="A24" s="19"/>
      <c r="B24" s="54">
        <v>18</v>
      </c>
      <c r="C24" s="675" t="s">
        <v>48</v>
      </c>
      <c r="D24" s="676"/>
      <c r="E24" s="677" t="s">
        <v>31</v>
      </c>
      <c r="F24" s="677"/>
      <c r="G24" s="100" t="s">
        <v>379</v>
      </c>
      <c r="H24" s="93" t="s">
        <v>400</v>
      </c>
      <c r="I24" s="93" t="s">
        <v>400</v>
      </c>
      <c r="J24" s="137" t="s">
        <v>21</v>
      </c>
      <c r="K24" s="93" t="s">
        <v>403</v>
      </c>
      <c r="L24" s="93" t="s">
        <v>387</v>
      </c>
      <c r="M24" s="93" t="s">
        <v>21</v>
      </c>
      <c r="N24" s="93" t="s">
        <v>403</v>
      </c>
      <c r="O24" s="93" t="s">
        <v>403</v>
      </c>
      <c r="P24" s="137" t="s">
        <v>21</v>
      </c>
      <c r="Q24" s="93" t="s">
        <v>403</v>
      </c>
      <c r="R24" s="93" t="s">
        <v>400</v>
      </c>
      <c r="S24" s="43" t="s">
        <v>388</v>
      </c>
      <c r="T24" s="93" t="s">
        <v>21</v>
      </c>
      <c r="U24" s="43" t="s">
        <v>400</v>
      </c>
      <c r="V24" s="93" t="s">
        <v>400</v>
      </c>
      <c r="W24" s="50" t="s">
        <v>21</v>
      </c>
      <c r="X24" s="43" t="s">
        <v>403</v>
      </c>
      <c r="Y24" s="93" t="s">
        <v>403</v>
      </c>
      <c r="Z24" s="43" t="s">
        <v>410</v>
      </c>
      <c r="AA24" s="93" t="s">
        <v>21</v>
      </c>
      <c r="AB24" s="43" t="s">
        <v>400</v>
      </c>
      <c r="AC24" s="168" t="s">
        <v>400</v>
      </c>
      <c r="AD24" s="93" t="s">
        <v>379</v>
      </c>
      <c r="AE24" s="50" t="s">
        <v>21</v>
      </c>
      <c r="AF24" s="93" t="s">
        <v>400</v>
      </c>
      <c r="AG24" s="141" t="s">
        <v>21</v>
      </c>
      <c r="AH24" s="93" t="s">
        <v>21</v>
      </c>
      <c r="AI24" s="93" t="s">
        <v>403</v>
      </c>
      <c r="AJ24" s="93" t="s">
        <v>400</v>
      </c>
      <c r="AK24" s="95" t="s">
        <v>400</v>
      </c>
      <c r="AL24" s="447">
        <f t="shared" si="0"/>
        <v>0</v>
      </c>
      <c r="AM24" s="23">
        <f t="shared" si="1"/>
        <v>22</v>
      </c>
      <c r="AN24" s="24">
        <f t="shared" si="2"/>
        <v>9</v>
      </c>
      <c r="AO24" s="28">
        <f t="shared" si="3"/>
        <v>9</v>
      </c>
      <c r="AP24" s="10"/>
      <c r="AR24" s="300"/>
      <c r="AS24" s="652"/>
      <c r="AT24" s="652"/>
      <c r="AU24" s="653"/>
      <c r="AV24" s="653"/>
      <c r="AW24" s="203"/>
      <c r="AX24" s="157"/>
      <c r="AY24" s="157"/>
      <c r="AZ24" s="298"/>
      <c r="BA24" s="157"/>
      <c r="BB24" s="156"/>
      <c r="BC24" s="157"/>
      <c r="BD24" s="157"/>
      <c r="BE24" s="157"/>
      <c r="BF24" s="204"/>
      <c r="BG24" s="157"/>
      <c r="BH24" s="157"/>
      <c r="BI24" s="298"/>
      <c r="BJ24" s="157"/>
      <c r="BK24" s="157"/>
      <c r="BL24" s="157"/>
      <c r="BM24" s="204"/>
      <c r="BN24" s="156"/>
      <c r="BO24" s="157"/>
      <c r="BP24" s="157"/>
      <c r="BQ24" s="157"/>
      <c r="BR24" s="203"/>
      <c r="BS24" s="157"/>
      <c r="BT24" s="157"/>
      <c r="BU24" s="158"/>
      <c r="BV24" s="157"/>
      <c r="BW24" s="299"/>
      <c r="BX24" s="157"/>
      <c r="BY24" s="157"/>
      <c r="BZ24" s="157"/>
      <c r="CA24" s="157"/>
      <c r="CB24" s="159"/>
      <c r="CC24" s="161"/>
      <c r="CD24" s="160"/>
      <c r="CE24" s="160"/>
    </row>
    <row r="25" spans="1:83" ht="22" customHeight="1">
      <c r="A25" s="19"/>
      <c r="B25" s="416">
        <v>19</v>
      </c>
      <c r="C25" s="678" t="s">
        <v>197</v>
      </c>
      <c r="D25" s="679"/>
      <c r="E25" s="680" t="s">
        <v>94</v>
      </c>
      <c r="F25" s="681"/>
      <c r="G25" s="414" t="s">
        <v>2</v>
      </c>
      <c r="H25" s="493" t="s">
        <v>40</v>
      </c>
      <c r="I25" s="291" t="s">
        <v>2</v>
      </c>
      <c r="J25" s="291" t="s">
        <v>2</v>
      </c>
      <c r="K25" s="291" t="s">
        <v>2</v>
      </c>
      <c r="L25" s="292" t="s">
        <v>1</v>
      </c>
      <c r="M25" s="291" t="s">
        <v>1</v>
      </c>
      <c r="N25" s="291" t="s">
        <v>2</v>
      </c>
      <c r="O25" s="291" t="s">
        <v>2</v>
      </c>
      <c r="P25" s="291" t="s">
        <v>2</v>
      </c>
      <c r="Q25" s="291" t="s">
        <v>2</v>
      </c>
      <c r="R25" s="291" t="s">
        <v>2</v>
      </c>
      <c r="S25" s="292" t="s">
        <v>1</v>
      </c>
      <c r="T25" s="291" t="s">
        <v>1</v>
      </c>
      <c r="U25" s="291" t="s">
        <v>2</v>
      </c>
      <c r="V25" s="291" t="s">
        <v>2</v>
      </c>
      <c r="W25" s="291" t="s">
        <v>2</v>
      </c>
      <c r="X25" s="291" t="s">
        <v>2</v>
      </c>
      <c r="Y25" s="291" t="s">
        <v>2</v>
      </c>
      <c r="Z25" s="292" t="s">
        <v>21</v>
      </c>
      <c r="AA25" s="291" t="s">
        <v>1</v>
      </c>
      <c r="AB25" s="291" t="s">
        <v>2</v>
      </c>
      <c r="AC25" s="494" t="s">
        <v>2</v>
      </c>
      <c r="AD25" s="291" t="s">
        <v>2</v>
      </c>
      <c r="AE25" s="292" t="s">
        <v>21</v>
      </c>
      <c r="AF25" s="291" t="s">
        <v>2</v>
      </c>
      <c r="AG25" s="292" t="s">
        <v>21</v>
      </c>
      <c r="AH25" s="291" t="s">
        <v>1</v>
      </c>
      <c r="AI25" s="291" t="s">
        <v>2</v>
      </c>
      <c r="AJ25" s="291" t="s">
        <v>2</v>
      </c>
      <c r="AK25" s="495" t="s">
        <v>2</v>
      </c>
      <c r="AL25" s="475">
        <f t="shared" si="0"/>
        <v>1</v>
      </c>
      <c r="AM25" s="293">
        <f t="shared" si="1"/>
        <v>21</v>
      </c>
      <c r="AN25" s="294">
        <f t="shared" si="2"/>
        <v>9</v>
      </c>
      <c r="AO25" s="295">
        <f t="shared" si="3"/>
        <v>10</v>
      </c>
      <c r="AP25" s="10" t="s">
        <v>413</v>
      </c>
      <c r="AR25" s="652"/>
      <c r="AS25" s="652"/>
      <c r="AT25" s="653"/>
      <c r="AU25" s="653"/>
      <c r="AV25" s="203"/>
      <c r="AW25" s="157"/>
      <c r="AX25" s="157"/>
      <c r="AY25" s="298"/>
      <c r="AZ25" s="157"/>
      <c r="BA25" s="156"/>
      <c r="BB25" s="157"/>
      <c r="BC25" s="203"/>
      <c r="BD25" s="157"/>
      <c r="BE25" s="204"/>
      <c r="BF25" s="298"/>
      <c r="BG25" s="157"/>
      <c r="BH25" s="158"/>
      <c r="BI25" s="157"/>
      <c r="BJ25" s="298"/>
      <c r="BK25" s="157"/>
      <c r="BL25" s="204"/>
      <c r="BM25" s="156"/>
      <c r="BN25" s="157"/>
      <c r="BO25" s="298"/>
      <c r="BP25" s="157"/>
      <c r="BQ25" s="156"/>
      <c r="BR25" s="157"/>
      <c r="BS25" s="157"/>
      <c r="BT25" s="156"/>
      <c r="BU25" s="157"/>
      <c r="BV25" s="299"/>
      <c r="BW25" s="157"/>
      <c r="BX25" s="203"/>
      <c r="BY25" s="157"/>
      <c r="BZ25" s="157"/>
      <c r="CA25" s="159"/>
      <c r="CB25" s="161"/>
      <c r="CC25" s="160"/>
      <c r="CD25" s="160"/>
    </row>
    <row r="26" spans="1:83" ht="22.5" customHeight="1">
      <c r="A26" s="659"/>
      <c r="B26" s="660" t="s">
        <v>3</v>
      </c>
      <c r="C26" s="661"/>
      <c r="D26" s="661"/>
      <c r="E26" s="662"/>
      <c r="F26" s="297" t="s">
        <v>2</v>
      </c>
      <c r="G26" s="461">
        <f>COUNTIF(G6:G23,"D")</f>
        <v>16</v>
      </c>
      <c r="H26" s="240">
        <f t="shared" ref="H26:AK26" si="4">COUNTIF(H6:H23,"D")</f>
        <v>16</v>
      </c>
      <c r="I26" s="210">
        <f t="shared" si="4"/>
        <v>15</v>
      </c>
      <c r="J26" s="210">
        <f t="shared" si="4"/>
        <v>14</v>
      </c>
      <c r="K26" s="210">
        <f t="shared" si="4"/>
        <v>14</v>
      </c>
      <c r="L26" s="210">
        <f>COUNTIF(L6:L23,"D")</f>
        <v>7</v>
      </c>
      <c r="M26" s="210">
        <f t="shared" si="4"/>
        <v>0</v>
      </c>
      <c r="N26" s="210">
        <f t="shared" si="4"/>
        <v>14</v>
      </c>
      <c r="O26" s="210">
        <f t="shared" si="4"/>
        <v>15</v>
      </c>
      <c r="P26" s="210">
        <f t="shared" si="4"/>
        <v>14</v>
      </c>
      <c r="Q26" s="210">
        <f t="shared" si="4"/>
        <v>16</v>
      </c>
      <c r="R26" s="210">
        <f t="shared" si="4"/>
        <v>14</v>
      </c>
      <c r="S26" s="210">
        <f t="shared" si="4"/>
        <v>5</v>
      </c>
      <c r="T26" s="210">
        <f t="shared" si="4"/>
        <v>0</v>
      </c>
      <c r="U26" s="210">
        <f t="shared" si="4"/>
        <v>15</v>
      </c>
      <c r="V26" s="210">
        <f t="shared" si="4"/>
        <v>15</v>
      </c>
      <c r="W26" s="210">
        <f t="shared" si="4"/>
        <v>15</v>
      </c>
      <c r="X26" s="210">
        <f t="shared" si="4"/>
        <v>15</v>
      </c>
      <c r="Y26" s="210">
        <f t="shared" si="4"/>
        <v>15</v>
      </c>
      <c r="Z26" s="210">
        <f t="shared" si="4"/>
        <v>6</v>
      </c>
      <c r="AA26" s="210">
        <f t="shared" si="4"/>
        <v>0</v>
      </c>
      <c r="AB26" s="210">
        <f t="shared" si="4"/>
        <v>15</v>
      </c>
      <c r="AC26" s="210">
        <f t="shared" si="4"/>
        <v>15</v>
      </c>
      <c r="AD26" s="210">
        <f t="shared" si="4"/>
        <v>17</v>
      </c>
      <c r="AE26" s="210">
        <f t="shared" si="4"/>
        <v>10</v>
      </c>
      <c r="AF26" s="210">
        <f t="shared" si="4"/>
        <v>16</v>
      </c>
      <c r="AG26" s="210">
        <f t="shared" si="4"/>
        <v>6</v>
      </c>
      <c r="AH26" s="210">
        <f t="shared" si="4"/>
        <v>0</v>
      </c>
      <c r="AI26" s="210">
        <f t="shared" si="4"/>
        <v>15</v>
      </c>
      <c r="AJ26" s="496">
        <f t="shared" si="4"/>
        <v>15</v>
      </c>
      <c r="AK26" s="211">
        <f t="shared" si="4"/>
        <v>13</v>
      </c>
      <c r="AL26" s="175">
        <f t="shared" si="0"/>
        <v>0</v>
      </c>
      <c r="AM26" s="33">
        <f t="shared" si="1"/>
        <v>0</v>
      </c>
      <c r="AN26" s="34">
        <f t="shared" si="2"/>
        <v>0</v>
      </c>
      <c r="AO26" s="410">
        <f t="shared" si="3"/>
        <v>0</v>
      </c>
      <c r="AP26" s="10"/>
    </row>
    <row r="27" spans="1:83" ht="22.5" customHeight="1">
      <c r="A27" s="659"/>
      <c r="B27" s="663" t="s">
        <v>4</v>
      </c>
      <c r="C27" s="664"/>
      <c r="D27" s="664"/>
      <c r="E27" s="665"/>
      <c r="F27" s="2" t="s">
        <v>1</v>
      </c>
      <c r="G27" s="14">
        <f t="shared" ref="G27:AK27" si="5">COUNTIF(G6:G25,"●")</f>
        <v>1</v>
      </c>
      <c r="H27" s="14">
        <f t="shared" si="5"/>
        <v>1</v>
      </c>
      <c r="I27" s="14">
        <f t="shared" si="5"/>
        <v>2</v>
      </c>
      <c r="J27" s="14">
        <f t="shared" si="5"/>
        <v>4</v>
      </c>
      <c r="K27" s="14">
        <f t="shared" si="5"/>
        <v>2</v>
      </c>
      <c r="L27" s="14">
        <f t="shared" si="5"/>
        <v>11</v>
      </c>
      <c r="M27" s="14">
        <f t="shared" si="5"/>
        <v>20</v>
      </c>
      <c r="N27" s="14">
        <f t="shared" si="5"/>
        <v>1</v>
      </c>
      <c r="O27" s="14">
        <f t="shared" si="5"/>
        <v>1</v>
      </c>
      <c r="P27" s="14">
        <f t="shared" si="5"/>
        <v>3</v>
      </c>
      <c r="Q27" s="14">
        <f t="shared" si="5"/>
        <v>1</v>
      </c>
      <c r="R27" s="14">
        <f t="shared" si="5"/>
        <v>2</v>
      </c>
      <c r="S27" s="14">
        <f t="shared" si="5"/>
        <v>13</v>
      </c>
      <c r="T27" s="14">
        <f t="shared" si="5"/>
        <v>20</v>
      </c>
      <c r="U27" s="14">
        <f t="shared" si="5"/>
        <v>2</v>
      </c>
      <c r="V27" s="14">
        <f t="shared" si="5"/>
        <v>1</v>
      </c>
      <c r="W27" s="14">
        <f t="shared" si="5"/>
        <v>3</v>
      </c>
      <c r="X27" s="14">
        <f t="shared" si="5"/>
        <v>0</v>
      </c>
      <c r="Y27" s="14">
        <f t="shared" si="5"/>
        <v>1</v>
      </c>
      <c r="Z27" s="14">
        <f t="shared" si="5"/>
        <v>11</v>
      </c>
      <c r="AA27" s="14">
        <f t="shared" si="5"/>
        <v>19</v>
      </c>
      <c r="AB27" s="14">
        <f t="shared" si="5"/>
        <v>1</v>
      </c>
      <c r="AC27" s="14">
        <f t="shared" si="5"/>
        <v>2</v>
      </c>
      <c r="AD27" s="14">
        <f t="shared" si="5"/>
        <v>0</v>
      </c>
      <c r="AE27" s="14">
        <f t="shared" si="5"/>
        <v>9</v>
      </c>
      <c r="AF27" s="14">
        <f t="shared" si="5"/>
        <v>1</v>
      </c>
      <c r="AG27" s="14">
        <f t="shared" si="5"/>
        <v>13</v>
      </c>
      <c r="AH27" s="14">
        <f t="shared" si="5"/>
        <v>20</v>
      </c>
      <c r="AI27" s="14">
        <f t="shared" si="5"/>
        <v>2</v>
      </c>
      <c r="AJ27" s="14">
        <f t="shared" si="5"/>
        <v>2</v>
      </c>
      <c r="AK27" s="14">
        <f t="shared" si="5"/>
        <v>4</v>
      </c>
      <c r="AL27" s="666" t="s">
        <v>174</v>
      </c>
      <c r="AM27" s="667"/>
      <c r="AN27" s="667"/>
      <c r="AO27" s="668"/>
      <c r="AP27" s="10"/>
    </row>
    <row r="28" spans="1:83" ht="22.5" customHeight="1" thickBot="1">
      <c r="A28" s="743"/>
      <c r="B28" s="670" t="s">
        <v>5</v>
      </c>
      <c r="C28" s="671"/>
      <c r="D28" s="671"/>
      <c r="E28" s="672"/>
      <c r="F28" s="3" t="s">
        <v>0</v>
      </c>
      <c r="G28" s="14">
        <f t="shared" ref="G28:AK28" si="6">COUNTIF(G6:G25,"▲")</f>
        <v>0</v>
      </c>
      <c r="H28" s="14">
        <f t="shared" si="6"/>
        <v>1</v>
      </c>
      <c r="I28" s="14">
        <f t="shared" si="6"/>
        <v>0</v>
      </c>
      <c r="J28" s="14">
        <f t="shared" si="6"/>
        <v>0</v>
      </c>
      <c r="K28" s="14">
        <f t="shared" si="6"/>
        <v>0</v>
      </c>
      <c r="L28" s="14">
        <f t="shared" si="6"/>
        <v>0</v>
      </c>
      <c r="M28" s="14">
        <f t="shared" si="6"/>
        <v>0</v>
      </c>
      <c r="N28" s="14">
        <f t="shared" si="6"/>
        <v>1</v>
      </c>
      <c r="O28" s="14">
        <f t="shared" si="6"/>
        <v>0</v>
      </c>
      <c r="P28" s="14">
        <f t="shared" si="6"/>
        <v>1</v>
      </c>
      <c r="Q28" s="14">
        <f t="shared" si="6"/>
        <v>0</v>
      </c>
      <c r="R28" s="14">
        <f t="shared" si="6"/>
        <v>0</v>
      </c>
      <c r="S28" s="14">
        <f t="shared" si="6"/>
        <v>0</v>
      </c>
      <c r="T28" s="14">
        <f t="shared" si="6"/>
        <v>0</v>
      </c>
      <c r="U28" s="14">
        <f t="shared" si="6"/>
        <v>0</v>
      </c>
      <c r="V28" s="14">
        <f t="shared" si="6"/>
        <v>1</v>
      </c>
      <c r="W28" s="14">
        <f t="shared" si="6"/>
        <v>0</v>
      </c>
      <c r="X28" s="14">
        <f t="shared" si="6"/>
        <v>0</v>
      </c>
      <c r="Y28" s="14">
        <f t="shared" si="6"/>
        <v>0</v>
      </c>
      <c r="Z28" s="14">
        <f t="shared" si="6"/>
        <v>0</v>
      </c>
      <c r="AA28" s="14">
        <f t="shared" si="6"/>
        <v>0</v>
      </c>
      <c r="AB28" s="14">
        <f t="shared" si="6"/>
        <v>0</v>
      </c>
      <c r="AC28" s="14">
        <f t="shared" si="6"/>
        <v>0</v>
      </c>
      <c r="AD28" s="14">
        <f t="shared" si="6"/>
        <v>0</v>
      </c>
      <c r="AE28" s="14">
        <f t="shared" si="6"/>
        <v>0</v>
      </c>
      <c r="AF28" s="14">
        <f t="shared" si="6"/>
        <v>0</v>
      </c>
      <c r="AG28" s="14">
        <f t="shared" si="6"/>
        <v>0</v>
      </c>
      <c r="AH28" s="14">
        <f t="shared" si="6"/>
        <v>0</v>
      </c>
      <c r="AI28" s="14">
        <f t="shared" si="6"/>
        <v>0</v>
      </c>
      <c r="AJ28" s="14">
        <f t="shared" si="6"/>
        <v>0</v>
      </c>
      <c r="AK28" s="14">
        <f t="shared" si="6"/>
        <v>0</v>
      </c>
      <c r="AL28" s="52" t="s">
        <v>19</v>
      </c>
      <c r="AM28" s="649" t="s">
        <v>17</v>
      </c>
      <c r="AN28" s="650"/>
      <c r="AO28" s="651"/>
      <c r="AP28" s="10"/>
    </row>
    <row r="29" spans="1:83" ht="22.5" customHeight="1" thickTop="1" thickBot="1">
      <c r="A29" s="743"/>
      <c r="B29" s="654"/>
      <c r="C29" s="654"/>
      <c r="D29" s="654"/>
      <c r="E29" s="654"/>
      <c r="F29" s="654"/>
      <c r="G29" s="286"/>
      <c r="H29" s="651" t="s">
        <v>93</v>
      </c>
      <c r="I29" s="655"/>
      <c r="J29" s="655"/>
      <c r="K29" s="3" t="s">
        <v>0</v>
      </c>
      <c r="L29" s="649" t="s">
        <v>5</v>
      </c>
      <c r="M29" s="651"/>
      <c r="N29" s="5" t="s">
        <v>68</v>
      </c>
      <c r="O29" s="656" t="s">
        <v>177</v>
      </c>
      <c r="P29" s="657"/>
      <c r="Q29" s="658"/>
      <c r="R29" s="5" t="s">
        <v>91</v>
      </c>
      <c r="S29" s="656" t="s">
        <v>179</v>
      </c>
      <c r="T29" s="657"/>
      <c r="U29" s="658"/>
      <c r="V29" s="6" t="s">
        <v>56</v>
      </c>
      <c r="W29" s="644" t="s">
        <v>178</v>
      </c>
      <c r="X29" s="645"/>
      <c r="Y29" s="645"/>
      <c r="Z29" s="6" t="s">
        <v>83</v>
      </c>
      <c r="AA29" s="644" t="s">
        <v>180</v>
      </c>
      <c r="AB29" s="645"/>
      <c r="AC29" s="645"/>
      <c r="AD29" s="152" t="s">
        <v>1</v>
      </c>
      <c r="AE29" s="646" t="s">
        <v>175</v>
      </c>
      <c r="AF29" s="647"/>
      <c r="AG29" s="648"/>
      <c r="AH29" s="2" t="s">
        <v>21</v>
      </c>
      <c r="AI29" s="649" t="s">
        <v>4</v>
      </c>
      <c r="AJ29" s="650"/>
      <c r="AK29" s="651"/>
      <c r="AL29" s="13" t="s">
        <v>20</v>
      </c>
      <c r="AM29" s="649" t="s">
        <v>18</v>
      </c>
      <c r="AN29" s="650"/>
      <c r="AO29" s="651"/>
      <c r="AP29" s="10"/>
    </row>
    <row r="30" spans="1:83" customFormat="1" ht="19" thickTop="1">
      <c r="B30" s="8"/>
      <c r="C30" s="652"/>
      <c r="D30" s="652"/>
      <c r="E30" s="653"/>
      <c r="F30" s="653"/>
      <c r="G30" s="156"/>
      <c r="H30" s="158"/>
      <c r="I30" s="157"/>
      <c r="J30" s="158"/>
      <c r="K30" s="158"/>
      <c r="L30" s="158"/>
      <c r="M30" s="158"/>
      <c r="N30" s="203"/>
      <c r="O30" s="158"/>
      <c r="P30" s="158"/>
      <c r="Q30" s="203"/>
      <c r="R30" s="157"/>
      <c r="S30" s="157"/>
      <c r="T30" s="158"/>
      <c r="U30" s="158"/>
      <c r="V30" s="158"/>
      <c r="W30" s="158"/>
      <c r="X30" s="157"/>
      <c r="Y30" s="157"/>
      <c r="Z30" s="157"/>
      <c r="AA30" s="158"/>
      <c r="AB30" s="203"/>
      <c r="AC30" s="158"/>
      <c r="AD30" s="158"/>
      <c r="AE30" s="203"/>
      <c r="AF30" s="157"/>
      <c r="AG30" s="158"/>
      <c r="AH30" s="158"/>
      <c r="AI30" s="157"/>
      <c r="AJ30" s="158"/>
      <c r="AK30" s="158"/>
      <c r="AN30" s="9"/>
      <c r="AO30" s="11"/>
    </row>
    <row r="31" spans="1:83" s="11" customFormat="1" ht="18">
      <c r="A31" s="1"/>
      <c r="B31" s="652"/>
      <c r="C31" s="652"/>
      <c r="D31" s="652"/>
      <c r="E31" s="652"/>
      <c r="F31" s="653"/>
      <c r="G31" s="653"/>
      <c r="H31" s="156"/>
      <c r="I31" s="158"/>
      <c r="J31" s="157"/>
      <c r="K31" s="158"/>
      <c r="L31" s="158"/>
      <c r="M31" s="157"/>
      <c r="N31" s="157"/>
      <c r="O31" s="203"/>
      <c r="P31" s="158"/>
      <c r="Q31" s="157"/>
      <c r="R31" s="157"/>
      <c r="S31" s="158"/>
      <c r="T31" s="158"/>
      <c r="U31" s="218"/>
      <c r="V31" s="158"/>
      <c r="W31" s="158"/>
      <c r="X31" s="158"/>
      <c r="Y31" s="158"/>
      <c r="Z31" s="156"/>
      <c r="AA31" s="158"/>
      <c r="AB31" s="158"/>
      <c r="AC31" s="158"/>
      <c r="AD31" s="158"/>
      <c r="AE31" s="157"/>
      <c r="AF31" s="158"/>
      <c r="AG31" s="156"/>
      <c r="AH31" s="158"/>
      <c r="AI31" s="158"/>
      <c r="AJ31" s="158"/>
      <c r="AK31" s="158"/>
      <c r="AL31" s="156"/>
      <c r="AM31" s="160"/>
      <c r="AN31" s="160"/>
      <c r="AP31" s="12"/>
      <c r="AQ31" s="1"/>
      <c r="AR31" s="1"/>
      <c r="AS31" s="1"/>
      <c r="AT31" s="1"/>
    </row>
    <row r="32" spans="1:83" s="11" customFormat="1">
      <c r="A32" s="1"/>
      <c r="B32" s="1"/>
      <c r="C32" s="1"/>
      <c r="D32" s="1"/>
      <c r="E32" s="1"/>
      <c r="F32" s="1"/>
      <c r="G32"/>
      <c r="H32" s="1"/>
      <c r="I32" s="1"/>
      <c r="J32" s="8"/>
      <c r="K32" s="8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7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9"/>
      <c r="AP32" s="12"/>
      <c r="AQ32" s="1"/>
      <c r="AR32" s="1"/>
      <c r="AS32" s="1"/>
      <c r="AT32" s="1"/>
    </row>
    <row r="33" spans="1:46" s="11" customFormat="1" ht="18">
      <c r="A33" s="1"/>
      <c r="B33" s="1"/>
      <c r="C33" s="1"/>
      <c r="D33" s="1"/>
      <c r="E33" s="1"/>
      <c r="F33" s="1"/>
      <c r="G33" s="17"/>
      <c r="H33" s="17"/>
      <c r="I33" s="17"/>
      <c r="J33" s="17"/>
      <c r="K33" s="15"/>
      <c r="L33" s="17"/>
      <c r="M33" s="17"/>
      <c r="N33" s="17"/>
      <c r="O33" s="17"/>
      <c r="P33" s="17"/>
      <c r="Q33" s="17"/>
      <c r="R33" s="15"/>
      <c r="S33" s="17"/>
      <c r="T33" s="16"/>
      <c r="U33" s="16"/>
      <c r="V33" s="16"/>
      <c r="W33" s="16"/>
      <c r="X33" s="16"/>
      <c r="Y33" s="15"/>
      <c r="Z33" s="16"/>
      <c r="AA33" s="16"/>
      <c r="AB33" s="16"/>
      <c r="AC33" s="16"/>
      <c r="AD33" s="16"/>
      <c r="AE33" s="16"/>
      <c r="AF33" s="15" t="s">
        <v>41</v>
      </c>
      <c r="AG33" s="16"/>
      <c r="AH33" s="16"/>
      <c r="AI33" s="16"/>
      <c r="AJ33" s="16"/>
      <c r="AK33" s="16"/>
      <c r="AL33" s="1"/>
      <c r="AM33" s="1"/>
      <c r="AN33" s="9"/>
      <c r="AP33" s="12"/>
      <c r="AQ33" s="1"/>
      <c r="AR33" s="1"/>
      <c r="AS33" s="1"/>
      <c r="AT33" s="1"/>
    </row>
    <row r="34" spans="1:46" s="11" customFormat="1">
      <c r="A34" s="1"/>
      <c r="B34" s="1"/>
      <c r="C34" s="1"/>
      <c r="D34" s="1"/>
      <c r="E34" s="1"/>
      <c r="F34" s="1"/>
      <c r="G34"/>
      <c r="H34" s="1"/>
      <c r="I34" s="1"/>
      <c r="J34" s="8"/>
      <c r="K34" s="8"/>
      <c r="L34" s="1"/>
      <c r="M34" t="s">
        <v>27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7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9"/>
      <c r="AP34" s="12"/>
      <c r="AQ34" s="1"/>
      <c r="AR34" s="1"/>
      <c r="AS34" s="1"/>
      <c r="AT34" s="1"/>
    </row>
    <row r="35" spans="1:46" s="11" customFormat="1">
      <c r="A35" s="1"/>
      <c r="B35" s="1"/>
      <c r="C35" s="1"/>
      <c r="D35" s="1"/>
      <c r="E35" s="1"/>
      <c r="F35" s="1"/>
      <c r="G35"/>
      <c r="H35" s="1"/>
      <c r="I35" s="1"/>
      <c r="J35" s="8"/>
      <c r="K35" s="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7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9"/>
      <c r="AP35" s="12"/>
      <c r="AQ35" s="1"/>
      <c r="AR35" s="1"/>
      <c r="AS35" s="1"/>
      <c r="AT35" s="1"/>
    </row>
    <row r="36" spans="1:46" s="11" customFormat="1">
      <c r="A36" s="1"/>
      <c r="B36" s="1"/>
      <c r="C36" s="1"/>
      <c r="D36" s="1"/>
      <c r="E36" s="1"/>
      <c r="F36" s="1"/>
      <c r="G36"/>
      <c r="H36" s="1"/>
      <c r="I36" s="1"/>
      <c r="J36" s="8"/>
      <c r="K36" s="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7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9"/>
      <c r="AP36" s="12"/>
      <c r="AQ36" s="1"/>
      <c r="AR36" s="1"/>
      <c r="AS36" s="1"/>
      <c r="AT36" s="1"/>
    </row>
    <row r="37" spans="1:46" s="11" customFormat="1">
      <c r="A37" s="1"/>
      <c r="B37" s="1"/>
      <c r="C37" s="1"/>
      <c r="D37" s="1"/>
      <c r="E37" s="1"/>
      <c r="F37" s="1"/>
      <c r="G37"/>
      <c r="H37" s="1"/>
      <c r="I37" s="1"/>
      <c r="J37" s="8"/>
      <c r="K37" s="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7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9"/>
      <c r="AP37" s="12"/>
      <c r="AQ37" s="1"/>
      <c r="AR37" s="1"/>
      <c r="AS37" s="1"/>
      <c r="AT37" s="1"/>
    </row>
    <row r="38" spans="1:46" s="11" customFormat="1">
      <c r="A38" s="1"/>
      <c r="B38" s="1"/>
      <c r="C38" s="1"/>
      <c r="D38" s="1"/>
      <c r="E38" s="1"/>
      <c r="F38" s="1"/>
      <c r="G38"/>
      <c r="H38" s="1"/>
      <c r="I38" s="1"/>
      <c r="J38" s="8"/>
      <c r="K38" s="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7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9"/>
      <c r="AP38" s="12"/>
      <c r="AQ38" s="1"/>
      <c r="AR38" s="1"/>
      <c r="AS38" s="1"/>
      <c r="AT38" s="1"/>
    </row>
    <row r="39" spans="1:46" s="11" customFormat="1">
      <c r="A39" s="1"/>
      <c r="B39" s="1"/>
      <c r="C39" s="1"/>
      <c r="D39" s="1"/>
      <c r="E39" s="1"/>
      <c r="F39" s="1"/>
      <c r="G39"/>
      <c r="H39" s="1"/>
      <c r="I39" s="1"/>
      <c r="J39" s="8"/>
      <c r="K39" s="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7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9"/>
      <c r="AP39" s="12"/>
      <c r="AQ39" s="1"/>
      <c r="AR39" s="1"/>
      <c r="AS39" s="1"/>
      <c r="AT39" s="1"/>
    </row>
    <row r="40" spans="1:46" s="11" customFormat="1">
      <c r="A40" s="1"/>
      <c r="B40" s="1"/>
      <c r="C40" s="1"/>
      <c r="D40" s="1"/>
      <c r="E40" s="1"/>
      <c r="F40" s="1"/>
      <c r="G40"/>
      <c r="H40" s="1"/>
      <c r="I40" s="1"/>
      <c r="J40" s="8"/>
      <c r="K40" s="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7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9"/>
      <c r="AP40" s="12"/>
      <c r="AQ40" s="1"/>
      <c r="AR40" s="1"/>
      <c r="AS40" s="1"/>
      <c r="AT40" s="1"/>
    </row>
    <row r="41" spans="1:46" s="11" customFormat="1">
      <c r="A41" s="1"/>
      <c r="B41" s="1"/>
      <c r="C41" s="1"/>
      <c r="D41" s="1"/>
      <c r="E41" s="1"/>
      <c r="F41" s="1"/>
      <c r="G41"/>
      <c r="H41" s="1"/>
      <c r="I41" s="1"/>
      <c r="J41" s="8"/>
      <c r="K41" s="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7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9"/>
      <c r="AP41" s="12"/>
      <c r="AQ41" s="1"/>
      <c r="AR41" s="1"/>
      <c r="AS41" s="1"/>
      <c r="AT41" s="1"/>
    </row>
    <row r="42" spans="1:46" s="11" customFormat="1">
      <c r="A42" s="1"/>
      <c r="B42" s="1"/>
      <c r="C42" s="1"/>
      <c r="D42" s="1"/>
      <c r="E42" s="1"/>
      <c r="F42" s="1"/>
      <c r="G42"/>
      <c r="H42" s="1"/>
      <c r="I42" s="1"/>
      <c r="J42" s="8"/>
      <c r="K42" s="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7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9"/>
      <c r="AP42" s="12"/>
      <c r="AQ42" s="1"/>
      <c r="AR42" s="1"/>
      <c r="AS42" s="1"/>
      <c r="AT42" s="1"/>
    </row>
    <row r="43" spans="1:46" s="11" customFormat="1">
      <c r="A43" s="1"/>
      <c r="B43" s="1"/>
      <c r="C43" s="1"/>
      <c r="D43" s="1"/>
      <c r="E43" s="1"/>
      <c r="F43" s="1"/>
      <c r="G43"/>
      <c r="H43" s="1"/>
      <c r="I43" s="1"/>
      <c r="J43" s="8"/>
      <c r="K43" s="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7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9"/>
      <c r="AP43" s="12"/>
      <c r="AQ43" s="1"/>
      <c r="AR43" s="1"/>
      <c r="AS43" s="1"/>
      <c r="AT43" s="1"/>
    </row>
    <row r="44" spans="1:46" s="11" customFormat="1">
      <c r="A44" s="1"/>
      <c r="B44" s="1"/>
      <c r="C44" s="1"/>
      <c r="D44" s="1"/>
      <c r="E44" s="1"/>
      <c r="F44" s="1"/>
      <c r="G44"/>
      <c r="H44" s="1"/>
      <c r="I44" s="1"/>
      <c r="J44" s="8"/>
      <c r="K44" s="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7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9"/>
      <c r="AP44" s="12"/>
      <c r="AQ44" s="1"/>
      <c r="AR44" s="1"/>
      <c r="AS44" s="1"/>
      <c r="AT44" s="1"/>
    </row>
    <row r="45" spans="1:46" s="11" customFormat="1">
      <c r="A45" s="1"/>
      <c r="B45" s="1"/>
      <c r="C45" s="1"/>
      <c r="D45" s="1"/>
      <c r="E45" s="1"/>
      <c r="F45" s="1"/>
      <c r="G45"/>
      <c r="H45" s="1"/>
      <c r="I45" s="1"/>
      <c r="J45" s="8"/>
      <c r="K45" s="8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7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9"/>
      <c r="AP45" s="12"/>
      <c r="AQ45" s="1"/>
      <c r="AR45" s="1"/>
      <c r="AS45" s="1"/>
      <c r="AT45" s="1"/>
    </row>
    <row r="46" spans="1:46" s="11" customFormat="1">
      <c r="A46" s="1"/>
      <c r="B46" s="1"/>
      <c r="C46" s="1"/>
      <c r="D46" s="1"/>
      <c r="E46" s="1"/>
      <c r="F46" s="1"/>
      <c r="G46"/>
      <c r="H46" s="1"/>
      <c r="I46" s="1"/>
      <c r="J46" s="8"/>
      <c r="K46" s="8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7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9"/>
      <c r="AP46" s="12"/>
      <c r="AQ46" s="1"/>
      <c r="AR46" s="1"/>
      <c r="AS46" s="1"/>
      <c r="AT46" s="1"/>
    </row>
    <row r="47" spans="1:46">
      <c r="Y47" s="1"/>
      <c r="AD47" s="1"/>
    </row>
    <row r="48" spans="1:46" ht="40">
      <c r="R48" s="125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Q22:AR22"/>
    <mergeCell ref="AS22:AT22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26:A27"/>
    <mergeCell ref="B26:E26"/>
    <mergeCell ref="B27:E27"/>
    <mergeCell ref="AL27:AO27"/>
    <mergeCell ref="C22:D22"/>
    <mergeCell ref="E22:F22"/>
    <mergeCell ref="C23:D23"/>
    <mergeCell ref="E23:F23"/>
    <mergeCell ref="C24:D24"/>
    <mergeCell ref="E24:F24"/>
    <mergeCell ref="AU24:AV24"/>
    <mergeCell ref="C25:D25"/>
    <mergeCell ref="E25:F25"/>
    <mergeCell ref="AR25:AS25"/>
    <mergeCell ref="AT25:AU25"/>
    <mergeCell ref="AS24:AT24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111" priority="11" operator="equal">
      <formula>8</formula>
    </cfRule>
    <cfRule type="cellIs" dxfId="110" priority="12" operator="equal">
      <formula>0</formula>
    </cfRule>
  </conditionalFormatting>
  <conditionalFormatting sqref="BZ20:BZ21">
    <cfRule type="cellIs" dxfId="109" priority="5" operator="equal">
      <formula>8</formula>
    </cfRule>
    <cfRule type="cellIs" dxfId="108" priority="6" operator="equal">
      <formula>0</formula>
    </cfRule>
  </conditionalFormatting>
  <conditionalFormatting sqref="CA19">
    <cfRule type="cellIs" dxfId="107" priority="1" operator="equal">
      <formula>8</formula>
    </cfRule>
    <cfRule type="cellIs" dxfId="106" priority="2" operator="equal">
      <formula>0</formula>
    </cfRule>
  </conditionalFormatting>
  <conditionalFormatting sqref="CA25">
    <cfRule type="cellIs" dxfId="105" priority="3" operator="equal">
      <formula>8</formula>
    </cfRule>
    <cfRule type="cellIs" dxfId="104" priority="4" operator="equal">
      <formula>0</formula>
    </cfRule>
  </conditionalFormatting>
  <conditionalFormatting sqref="CB24">
    <cfRule type="cellIs" dxfId="103" priority="7" operator="equal">
      <formula>8</formula>
    </cfRule>
    <cfRule type="cellIs" dxfId="102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12" sqref="T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8" customWidth="1"/>
    <col min="12" max="24" width="3.6640625" style="1" customWidth="1"/>
    <col min="25" max="25" width="3.6640625" style="38" customWidth="1"/>
    <col min="26" max="28" width="3.6640625" style="1" customWidth="1"/>
    <col min="29" max="29" width="3.6640625" style="7" customWidth="1"/>
    <col min="30" max="30" width="3.6640625" style="41" customWidth="1"/>
    <col min="31" max="39" width="3.6640625" style="1" customWidth="1"/>
    <col min="40" max="40" width="8.6640625" style="9" customWidth="1"/>
    <col min="41" max="41" width="5.1640625" style="11" customWidth="1"/>
    <col min="42" max="42" width="9" style="12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18"/>
      <c r="B1" s="729" t="s">
        <v>415</v>
      </c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  <c r="AA1" s="729"/>
      <c r="AB1" s="729"/>
      <c r="AC1" s="729"/>
      <c r="AD1" s="729"/>
      <c r="AE1" s="729"/>
      <c r="AF1" s="729"/>
      <c r="AG1" s="729"/>
      <c r="AH1" s="729"/>
      <c r="AI1" s="729"/>
      <c r="AJ1" s="729"/>
      <c r="AK1" s="729"/>
      <c r="AL1" s="729"/>
      <c r="AM1" s="729"/>
      <c r="AN1" s="729"/>
      <c r="AO1" s="729"/>
    </row>
    <row r="2" spans="1:46" ht="22.5" customHeight="1">
      <c r="A2" s="1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29"/>
      <c r="AB2" s="729"/>
      <c r="AC2" s="729"/>
      <c r="AD2" s="729"/>
      <c r="AE2" s="729"/>
      <c r="AF2" s="729"/>
      <c r="AG2" s="729"/>
      <c r="AH2" s="729"/>
      <c r="AI2" s="729"/>
      <c r="AJ2" s="729"/>
      <c r="AK2" s="729"/>
      <c r="AL2" s="729"/>
      <c r="AM2" s="729"/>
      <c r="AN2" s="729"/>
      <c r="AO2" s="729"/>
    </row>
    <row r="3" spans="1:46" ht="22.5" customHeight="1">
      <c r="A3" s="18"/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R3" s="730"/>
      <c r="S3" s="730"/>
      <c r="T3" s="730"/>
      <c r="U3" s="730"/>
      <c r="V3" s="730"/>
      <c r="W3" s="730"/>
      <c r="X3" s="730"/>
      <c r="Y3" s="730"/>
      <c r="Z3" s="730"/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</row>
    <row r="4" spans="1:46" ht="25" customHeight="1">
      <c r="B4" s="731"/>
      <c r="C4" s="733" t="s">
        <v>6</v>
      </c>
      <c r="D4" s="734"/>
      <c r="E4" s="734"/>
      <c r="F4" s="735"/>
      <c r="G4" s="308">
        <v>1</v>
      </c>
      <c r="H4" s="37">
        <v>2</v>
      </c>
      <c r="I4" s="127">
        <v>3</v>
      </c>
      <c r="J4" s="51">
        <v>4</v>
      </c>
      <c r="K4" s="37">
        <v>5</v>
      </c>
      <c r="L4" s="37">
        <v>6</v>
      </c>
      <c r="M4" s="37">
        <v>7</v>
      </c>
      <c r="N4" s="37">
        <v>8</v>
      </c>
      <c r="O4" s="37">
        <v>9</v>
      </c>
      <c r="P4" s="127">
        <v>10</v>
      </c>
      <c r="Q4" s="51">
        <v>11</v>
      </c>
      <c r="R4" s="37">
        <v>12</v>
      </c>
      <c r="S4" s="37">
        <v>13</v>
      </c>
      <c r="T4" s="37">
        <v>14</v>
      </c>
      <c r="U4" s="37">
        <v>15</v>
      </c>
      <c r="V4" s="37">
        <v>16</v>
      </c>
      <c r="W4" s="127">
        <v>17</v>
      </c>
      <c r="X4" s="51">
        <v>18</v>
      </c>
      <c r="Y4" s="37">
        <v>19</v>
      </c>
      <c r="Z4" s="37">
        <v>20</v>
      </c>
      <c r="AA4" s="37">
        <v>21</v>
      </c>
      <c r="AB4" s="37">
        <v>22</v>
      </c>
      <c r="AC4" s="37">
        <v>23</v>
      </c>
      <c r="AD4" s="127">
        <v>24</v>
      </c>
      <c r="AE4" s="51">
        <v>25</v>
      </c>
      <c r="AF4" s="37">
        <v>26</v>
      </c>
      <c r="AG4" s="37">
        <v>27</v>
      </c>
      <c r="AH4" s="37">
        <v>28</v>
      </c>
      <c r="AI4" s="37">
        <v>29</v>
      </c>
      <c r="AJ4" s="37">
        <v>30</v>
      </c>
      <c r="AK4" s="338">
        <v>31</v>
      </c>
      <c r="AL4" s="736" t="s">
        <v>35</v>
      </c>
      <c r="AM4" s="737"/>
      <c r="AN4" s="737"/>
      <c r="AO4" s="738"/>
      <c r="AP4" s="10"/>
    </row>
    <row r="5" spans="1:46" ht="25" customHeight="1">
      <c r="B5" s="732"/>
      <c r="C5" s="739" t="s">
        <v>7</v>
      </c>
      <c r="D5" s="740"/>
      <c r="E5" s="741" t="s">
        <v>8</v>
      </c>
      <c r="F5" s="742"/>
      <c r="G5" s="209" t="s">
        <v>416</v>
      </c>
      <c r="H5" s="185" t="s">
        <v>85</v>
      </c>
      <c r="I5" s="186" t="s">
        <v>12</v>
      </c>
      <c r="J5" s="188" t="s">
        <v>13</v>
      </c>
      <c r="K5" s="185" t="s">
        <v>14</v>
      </c>
      <c r="L5" s="185" t="s">
        <v>15</v>
      </c>
      <c r="M5" s="185" t="s">
        <v>9</v>
      </c>
      <c r="N5" s="185" t="s">
        <v>10</v>
      </c>
      <c r="O5" s="185" t="s">
        <v>11</v>
      </c>
      <c r="P5" s="186" t="s">
        <v>12</v>
      </c>
      <c r="Q5" s="188" t="s">
        <v>13</v>
      </c>
      <c r="R5" s="185" t="s">
        <v>14</v>
      </c>
      <c r="S5" s="185" t="s">
        <v>15</v>
      </c>
      <c r="T5" s="185" t="s">
        <v>9</v>
      </c>
      <c r="U5" s="185" t="s">
        <v>10</v>
      </c>
      <c r="V5" s="185" t="s">
        <v>11</v>
      </c>
      <c r="W5" s="186" t="s">
        <v>12</v>
      </c>
      <c r="X5" s="188" t="s">
        <v>13</v>
      </c>
      <c r="Y5" s="185" t="s">
        <v>14</v>
      </c>
      <c r="Z5" s="185" t="s">
        <v>15</v>
      </c>
      <c r="AA5" s="185" t="s">
        <v>9</v>
      </c>
      <c r="AB5" s="185" t="s">
        <v>10</v>
      </c>
      <c r="AC5" s="185" t="s">
        <v>11</v>
      </c>
      <c r="AD5" s="186" t="s">
        <v>12</v>
      </c>
      <c r="AE5" s="188" t="s">
        <v>13</v>
      </c>
      <c r="AF5" s="185" t="s">
        <v>14</v>
      </c>
      <c r="AG5" s="185" t="s">
        <v>15</v>
      </c>
      <c r="AH5" s="185" t="s">
        <v>9</v>
      </c>
      <c r="AI5" s="185" t="s">
        <v>10</v>
      </c>
      <c r="AJ5" s="185" t="s">
        <v>11</v>
      </c>
      <c r="AK5" s="187" t="s">
        <v>12</v>
      </c>
      <c r="AL5" s="3" t="s">
        <v>0</v>
      </c>
      <c r="AM5" s="35" t="s">
        <v>2</v>
      </c>
      <c r="AN5" s="253" t="s">
        <v>1</v>
      </c>
      <c r="AO5" s="36" t="s">
        <v>16</v>
      </c>
      <c r="AP5" s="10"/>
    </row>
    <row r="6" spans="1:46" ht="22" customHeight="1">
      <c r="B6" s="353">
        <v>1</v>
      </c>
      <c r="C6" s="718" t="s">
        <v>191</v>
      </c>
      <c r="D6" s="719"/>
      <c r="E6" s="720" t="s">
        <v>34</v>
      </c>
      <c r="F6" s="721"/>
      <c r="G6" s="128" t="s">
        <v>422</v>
      </c>
      <c r="H6" s="39" t="s">
        <v>430</v>
      </c>
      <c r="I6" s="48" t="s">
        <v>444</v>
      </c>
      <c r="J6" s="39" t="s">
        <v>1</v>
      </c>
      <c r="K6" s="39" t="s">
        <v>2</v>
      </c>
      <c r="L6" s="39" t="s">
        <v>426</v>
      </c>
      <c r="M6" s="39" t="s">
        <v>432</v>
      </c>
      <c r="N6" s="39" t="s">
        <v>433</v>
      </c>
      <c r="O6" s="39" t="s">
        <v>438</v>
      </c>
      <c r="P6" s="48" t="s">
        <v>425</v>
      </c>
      <c r="Q6" s="39" t="s">
        <v>1</v>
      </c>
      <c r="R6" s="39" t="s">
        <v>440</v>
      </c>
      <c r="S6" s="39" t="s">
        <v>440</v>
      </c>
      <c r="T6" s="39" t="s">
        <v>440</v>
      </c>
      <c r="U6" s="39" t="s">
        <v>440</v>
      </c>
      <c r="V6" s="39" t="s">
        <v>440</v>
      </c>
      <c r="W6" s="48" t="s">
        <v>439</v>
      </c>
      <c r="X6" s="39" t="s">
        <v>1</v>
      </c>
      <c r="Y6" s="39" t="s">
        <v>446</v>
      </c>
      <c r="Z6" s="39" t="s">
        <v>446</v>
      </c>
      <c r="AA6" s="39" t="s">
        <v>446</v>
      </c>
      <c r="AB6" s="48" t="s">
        <v>21</v>
      </c>
      <c r="AC6" s="181" t="s">
        <v>21</v>
      </c>
      <c r="AD6" s="48" t="s">
        <v>470</v>
      </c>
      <c r="AE6" s="39" t="s">
        <v>1</v>
      </c>
      <c r="AF6" s="39" t="s">
        <v>446</v>
      </c>
      <c r="AG6" s="39" t="s">
        <v>2</v>
      </c>
      <c r="AH6" s="39" t="s">
        <v>446</v>
      </c>
      <c r="AI6" s="39" t="s">
        <v>446</v>
      </c>
      <c r="AJ6" s="39" t="s">
        <v>446</v>
      </c>
      <c r="AK6" s="339" t="s">
        <v>439</v>
      </c>
      <c r="AL6" s="55">
        <f t="shared" ref="AL6:AL26" si="0">COUNTIF(G6:AK6,"▲")</f>
        <v>0</v>
      </c>
      <c r="AM6" s="21">
        <f t="shared" ref="AM6:AM26" si="1">COUNTIF(G6:AK6,"D")</f>
        <v>19</v>
      </c>
      <c r="AN6" s="22">
        <f t="shared" ref="AN6:AN26" si="2">COUNTIF(G6:AK6,"●")</f>
        <v>12</v>
      </c>
      <c r="AO6" s="27">
        <f t="shared" ref="AO6:AO26" si="3">AN6+AL6</f>
        <v>12</v>
      </c>
      <c r="AP6" s="10"/>
    </row>
    <row r="7" spans="1:46" ht="21.75" customHeight="1">
      <c r="B7" s="54">
        <v>2</v>
      </c>
      <c r="C7" s="710" t="s">
        <v>22</v>
      </c>
      <c r="D7" s="722"/>
      <c r="E7" s="723" t="s">
        <v>23</v>
      </c>
      <c r="F7" s="724"/>
      <c r="G7" s="100" t="s">
        <v>129</v>
      </c>
      <c r="H7" s="93" t="s">
        <v>440</v>
      </c>
      <c r="I7" s="141" t="s">
        <v>21</v>
      </c>
      <c r="J7" s="93" t="s">
        <v>21</v>
      </c>
      <c r="K7" s="93" t="s">
        <v>2</v>
      </c>
      <c r="L7" s="93" t="s">
        <v>440</v>
      </c>
      <c r="M7" s="93" t="s">
        <v>438</v>
      </c>
      <c r="N7" s="43" t="s">
        <v>440</v>
      </c>
      <c r="O7" s="43" t="s">
        <v>129</v>
      </c>
      <c r="P7" s="50" t="s">
        <v>21</v>
      </c>
      <c r="Q7" s="93" t="s">
        <v>21</v>
      </c>
      <c r="R7" s="93" t="s">
        <v>440</v>
      </c>
      <c r="S7" s="43" t="s">
        <v>440</v>
      </c>
      <c r="T7" s="93" t="s">
        <v>440</v>
      </c>
      <c r="U7" s="43" t="s">
        <v>440</v>
      </c>
      <c r="V7" s="43" t="s">
        <v>440</v>
      </c>
      <c r="W7" s="50" t="s">
        <v>21</v>
      </c>
      <c r="X7" s="93" t="s">
        <v>21</v>
      </c>
      <c r="Y7" s="93" t="s">
        <v>440</v>
      </c>
      <c r="Z7" s="93" t="s">
        <v>440</v>
      </c>
      <c r="AA7" s="93" t="s">
        <v>440</v>
      </c>
      <c r="AB7" s="93" t="s">
        <v>440</v>
      </c>
      <c r="AC7" s="168" t="s">
        <v>440</v>
      </c>
      <c r="AD7" s="50" t="s">
        <v>21</v>
      </c>
      <c r="AE7" s="93" t="s">
        <v>21</v>
      </c>
      <c r="AF7" s="50" t="s">
        <v>21</v>
      </c>
      <c r="AG7" s="93" t="s">
        <v>440</v>
      </c>
      <c r="AH7" s="93" t="s">
        <v>440</v>
      </c>
      <c r="AI7" s="43" t="s">
        <v>438</v>
      </c>
      <c r="AJ7" s="93" t="s">
        <v>438</v>
      </c>
      <c r="AK7" s="340" t="s">
        <v>21</v>
      </c>
      <c r="AL7" s="221">
        <f t="shared" si="0"/>
        <v>0</v>
      </c>
      <c r="AM7" s="260">
        <f t="shared" si="1"/>
        <v>21</v>
      </c>
      <c r="AN7" s="32">
        <f t="shared" si="2"/>
        <v>10</v>
      </c>
      <c r="AO7" s="167">
        <f t="shared" si="3"/>
        <v>10</v>
      </c>
      <c r="AP7" s="10"/>
      <c r="AQ7" t="s">
        <v>437</v>
      </c>
      <c r="AT7"/>
    </row>
    <row r="8" spans="1:46" ht="22" customHeight="1">
      <c r="B8" s="353">
        <v>3</v>
      </c>
      <c r="C8" s="725" t="s">
        <v>36</v>
      </c>
      <c r="D8" s="726"/>
      <c r="E8" s="727" t="s">
        <v>37</v>
      </c>
      <c r="F8" s="728"/>
      <c r="G8" s="76" t="s">
        <v>2</v>
      </c>
      <c r="H8" s="71" t="s">
        <v>448</v>
      </c>
      <c r="I8" s="75" t="s">
        <v>419</v>
      </c>
      <c r="J8" s="71" t="s">
        <v>21</v>
      </c>
      <c r="K8" s="75" t="s">
        <v>2</v>
      </c>
      <c r="L8" s="75" t="s">
        <v>448</v>
      </c>
      <c r="M8" s="71" t="s">
        <v>448</v>
      </c>
      <c r="N8" s="233" t="s">
        <v>21</v>
      </c>
      <c r="O8" s="71" t="s">
        <v>448</v>
      </c>
      <c r="P8" s="75" t="s">
        <v>417</v>
      </c>
      <c r="Q8" s="71" t="s">
        <v>21</v>
      </c>
      <c r="R8" s="75" t="s">
        <v>448</v>
      </c>
      <c r="S8" s="75" t="s">
        <v>2</v>
      </c>
      <c r="T8" s="233" t="s">
        <v>21</v>
      </c>
      <c r="U8" s="75" t="s">
        <v>57</v>
      </c>
      <c r="V8" s="75" t="s">
        <v>446</v>
      </c>
      <c r="W8" s="39" t="s">
        <v>417</v>
      </c>
      <c r="X8" s="71" t="s">
        <v>21</v>
      </c>
      <c r="Y8" s="233" t="s">
        <v>447</v>
      </c>
      <c r="Z8" s="233" t="s">
        <v>21</v>
      </c>
      <c r="AA8" s="170" t="s">
        <v>21</v>
      </c>
      <c r="AB8" s="75" t="s">
        <v>426</v>
      </c>
      <c r="AC8" s="242" t="s">
        <v>56</v>
      </c>
      <c r="AD8" s="257" t="s">
        <v>2</v>
      </c>
      <c r="AE8" s="71" t="s">
        <v>21</v>
      </c>
      <c r="AF8" s="75" t="s">
        <v>446</v>
      </c>
      <c r="AG8" s="75" t="s">
        <v>446</v>
      </c>
      <c r="AH8" s="71" t="s">
        <v>448</v>
      </c>
      <c r="AI8" s="233" t="s">
        <v>21</v>
      </c>
      <c r="AJ8" s="257" t="s">
        <v>446</v>
      </c>
      <c r="AK8" s="259" t="s">
        <v>420</v>
      </c>
      <c r="AL8" s="124">
        <f t="shared" si="0"/>
        <v>0</v>
      </c>
      <c r="AM8" s="33">
        <f t="shared" si="1"/>
        <v>20</v>
      </c>
      <c r="AN8" s="34">
        <f t="shared" si="2"/>
        <v>10</v>
      </c>
      <c r="AO8" s="27">
        <f t="shared" si="3"/>
        <v>10</v>
      </c>
      <c r="AP8" s="10"/>
      <c r="AR8"/>
    </row>
    <row r="9" spans="1:46" ht="22" hidden="1" customHeight="1">
      <c r="A9" s="701"/>
      <c r="B9" s="20">
        <v>4</v>
      </c>
      <c r="C9" s="781"/>
      <c r="D9" s="782"/>
      <c r="E9" s="704"/>
      <c r="F9" s="705"/>
      <c r="G9" s="58"/>
      <c r="H9" s="59"/>
      <c r="I9" s="57"/>
      <c r="J9" s="59" t="s">
        <v>21</v>
      </c>
      <c r="K9" s="59"/>
      <c r="L9" s="59"/>
      <c r="M9" s="59"/>
      <c r="N9" s="117"/>
      <c r="O9" s="59"/>
      <c r="P9" s="91"/>
      <c r="Q9" s="59" t="s">
        <v>21</v>
      </c>
      <c r="R9" s="59"/>
      <c r="S9" s="40"/>
      <c r="T9" s="59"/>
      <c r="U9" s="57"/>
      <c r="V9" s="40"/>
      <c r="W9" s="40"/>
      <c r="X9" s="59" t="s">
        <v>21</v>
      </c>
      <c r="Y9" s="59"/>
      <c r="Z9" s="40"/>
      <c r="AA9" s="59"/>
      <c r="AB9" s="40"/>
      <c r="AC9" s="59"/>
      <c r="AD9" s="59"/>
      <c r="AE9" s="59" t="s">
        <v>21</v>
      </c>
      <c r="AF9" s="59"/>
      <c r="AG9" s="57"/>
      <c r="AH9" s="59"/>
      <c r="AI9" s="40"/>
      <c r="AJ9" s="59"/>
      <c r="AK9" s="65"/>
      <c r="AL9" s="30">
        <f t="shared" si="0"/>
        <v>0</v>
      </c>
      <c r="AM9" s="25">
        <f t="shared" si="1"/>
        <v>0</v>
      </c>
      <c r="AN9" s="26">
        <f t="shared" si="2"/>
        <v>4</v>
      </c>
      <c r="AO9" s="29"/>
      <c r="AP9" s="10"/>
      <c r="AR9" t="s">
        <v>168</v>
      </c>
      <c r="AS9" t="s">
        <v>169</v>
      </c>
      <c r="AT9" t="s">
        <v>170</v>
      </c>
    </row>
    <row r="10" spans="1:46" ht="22" customHeight="1">
      <c r="A10" s="701"/>
      <c r="B10" s="20">
        <v>4</v>
      </c>
      <c r="C10" s="702" t="s">
        <v>46</v>
      </c>
      <c r="D10" s="703"/>
      <c r="E10" s="704" t="s">
        <v>24</v>
      </c>
      <c r="F10" s="705"/>
      <c r="G10" s="58" t="s">
        <v>417</v>
      </c>
      <c r="H10" s="40" t="s">
        <v>423</v>
      </c>
      <c r="I10" s="59" t="s">
        <v>2</v>
      </c>
      <c r="J10" s="40" t="s">
        <v>1</v>
      </c>
      <c r="K10" s="59" t="s">
        <v>417</v>
      </c>
      <c r="L10" s="59" t="s">
        <v>417</v>
      </c>
      <c r="M10" s="57" t="s">
        <v>439</v>
      </c>
      <c r="N10" s="40" t="s">
        <v>450</v>
      </c>
      <c r="O10" s="40" t="s">
        <v>446</v>
      </c>
      <c r="P10" s="57" t="s">
        <v>21</v>
      </c>
      <c r="Q10" s="40" t="s">
        <v>1</v>
      </c>
      <c r="R10" s="59" t="s">
        <v>448</v>
      </c>
      <c r="S10" s="40" t="s">
        <v>448</v>
      </c>
      <c r="T10" s="40" t="s">
        <v>448</v>
      </c>
      <c r="U10" s="59" t="s">
        <v>2</v>
      </c>
      <c r="V10" s="40" t="s">
        <v>448</v>
      </c>
      <c r="W10" s="57" t="s">
        <v>21</v>
      </c>
      <c r="X10" s="40" t="s">
        <v>1</v>
      </c>
      <c r="Y10" s="137" t="s">
        <v>21</v>
      </c>
      <c r="Z10" s="91" t="s">
        <v>0</v>
      </c>
      <c r="AA10" s="91" t="s">
        <v>0</v>
      </c>
      <c r="AB10" s="114" t="s">
        <v>21</v>
      </c>
      <c r="AC10" s="59" t="s">
        <v>151</v>
      </c>
      <c r="AD10" s="59" t="s">
        <v>426</v>
      </c>
      <c r="AE10" s="40" t="s">
        <v>1</v>
      </c>
      <c r="AF10" s="59" t="s">
        <v>448</v>
      </c>
      <c r="AG10" s="68" t="s">
        <v>446</v>
      </c>
      <c r="AH10" s="40" t="s">
        <v>446</v>
      </c>
      <c r="AI10" s="40" t="s">
        <v>446</v>
      </c>
      <c r="AJ10" s="40" t="s">
        <v>446</v>
      </c>
      <c r="AK10" s="99" t="s">
        <v>21</v>
      </c>
      <c r="AL10" s="30">
        <f t="shared" si="0"/>
        <v>2</v>
      </c>
      <c r="AM10" s="25">
        <f t="shared" si="1"/>
        <v>19</v>
      </c>
      <c r="AN10" s="26">
        <f t="shared" si="2"/>
        <v>10</v>
      </c>
      <c r="AO10" s="29">
        <f t="shared" si="3"/>
        <v>12</v>
      </c>
      <c r="AP10" s="10"/>
      <c r="AR10"/>
      <c r="AS10"/>
      <c r="AT10"/>
    </row>
    <row r="11" spans="1:46" ht="22" customHeight="1">
      <c r="A11" s="701"/>
      <c r="B11" s="20">
        <v>5</v>
      </c>
      <c r="C11" s="706" t="s">
        <v>167</v>
      </c>
      <c r="D11" s="707"/>
      <c r="E11" s="698" t="s">
        <v>24</v>
      </c>
      <c r="F11" s="699"/>
      <c r="G11" s="70" t="s">
        <v>421</v>
      </c>
      <c r="H11" s="59" t="s">
        <v>446</v>
      </c>
      <c r="I11" s="137" t="s">
        <v>21</v>
      </c>
      <c r="J11" s="59" t="s">
        <v>21</v>
      </c>
      <c r="K11" s="40" t="s">
        <v>2</v>
      </c>
      <c r="L11" s="114" t="s">
        <v>435</v>
      </c>
      <c r="M11" s="59" t="s">
        <v>446</v>
      </c>
      <c r="N11" s="40" t="s">
        <v>446</v>
      </c>
      <c r="O11" s="59" t="s">
        <v>448</v>
      </c>
      <c r="P11" s="40" t="s">
        <v>2</v>
      </c>
      <c r="Q11" s="59" t="s">
        <v>1</v>
      </c>
      <c r="R11" s="57" t="s">
        <v>434</v>
      </c>
      <c r="S11" s="40" t="s">
        <v>448</v>
      </c>
      <c r="T11" s="59" t="s">
        <v>448</v>
      </c>
      <c r="U11" s="59" t="s">
        <v>2</v>
      </c>
      <c r="V11" s="91" t="s">
        <v>40</v>
      </c>
      <c r="W11" s="40" t="s">
        <v>426</v>
      </c>
      <c r="X11" s="59" t="s">
        <v>21</v>
      </c>
      <c r="Y11" s="40" t="s">
        <v>426</v>
      </c>
      <c r="Z11" s="40" t="s">
        <v>429</v>
      </c>
      <c r="AA11" s="59" t="s">
        <v>429</v>
      </c>
      <c r="AB11" s="40" t="s">
        <v>426</v>
      </c>
      <c r="AC11" s="89" t="s">
        <v>446</v>
      </c>
      <c r="AD11" s="57" t="s">
        <v>424</v>
      </c>
      <c r="AE11" s="59" t="s">
        <v>21</v>
      </c>
      <c r="AF11" s="40" t="s">
        <v>446</v>
      </c>
      <c r="AG11" s="40" t="s">
        <v>446</v>
      </c>
      <c r="AH11" s="40" t="s">
        <v>446</v>
      </c>
      <c r="AI11" s="40" t="s">
        <v>446</v>
      </c>
      <c r="AJ11" s="57" t="s">
        <v>21</v>
      </c>
      <c r="AK11" s="57" t="s">
        <v>21</v>
      </c>
      <c r="AL11" s="30">
        <f t="shared" si="0"/>
        <v>1</v>
      </c>
      <c r="AM11" s="25">
        <f t="shared" si="1"/>
        <v>20</v>
      </c>
      <c r="AN11" s="26">
        <f t="shared" si="2"/>
        <v>10</v>
      </c>
      <c r="AO11" s="29">
        <f t="shared" si="3"/>
        <v>11</v>
      </c>
      <c r="AP11" s="238"/>
      <c r="AR11">
        <v>112</v>
      </c>
    </row>
    <row r="12" spans="1:46" ht="22" customHeight="1">
      <c r="A12" s="701"/>
      <c r="B12" s="20">
        <v>6</v>
      </c>
      <c r="C12" s="708" t="s">
        <v>372</v>
      </c>
      <c r="D12" s="709"/>
      <c r="E12" s="673" t="s">
        <v>32</v>
      </c>
      <c r="F12" s="674"/>
      <c r="G12" s="258" t="s">
        <v>1</v>
      </c>
      <c r="H12" s="59" t="s">
        <v>448</v>
      </c>
      <c r="I12" s="59" t="s">
        <v>417</v>
      </c>
      <c r="J12" s="59" t="s">
        <v>21</v>
      </c>
      <c r="K12" s="59" t="s">
        <v>417</v>
      </c>
      <c r="L12" s="59" t="s">
        <v>448</v>
      </c>
      <c r="M12" s="59" t="s">
        <v>448</v>
      </c>
      <c r="N12" s="59" t="s">
        <v>448</v>
      </c>
      <c r="O12" s="59" t="s">
        <v>118</v>
      </c>
      <c r="P12" s="114" t="s">
        <v>21</v>
      </c>
      <c r="Q12" s="59" t="s">
        <v>21</v>
      </c>
      <c r="R12" s="40" t="s">
        <v>446</v>
      </c>
      <c r="S12" s="59" t="s">
        <v>446</v>
      </c>
      <c r="T12" s="111" t="s">
        <v>0</v>
      </c>
      <c r="U12" s="40" t="s">
        <v>2</v>
      </c>
      <c r="V12" s="59" t="s">
        <v>448</v>
      </c>
      <c r="W12" s="153" t="s">
        <v>21</v>
      </c>
      <c r="X12" s="59" t="s">
        <v>21</v>
      </c>
      <c r="Y12" s="59" t="s">
        <v>429</v>
      </c>
      <c r="Z12" s="59" t="s">
        <v>426</v>
      </c>
      <c r="AA12" s="121" t="s">
        <v>430</v>
      </c>
      <c r="AB12" s="40" t="s">
        <v>426</v>
      </c>
      <c r="AC12" s="40" t="s">
        <v>448</v>
      </c>
      <c r="AD12" s="57" t="s">
        <v>21</v>
      </c>
      <c r="AE12" s="59" t="s">
        <v>21</v>
      </c>
      <c r="AF12" s="153" t="s">
        <v>21</v>
      </c>
      <c r="AG12" s="137" t="s">
        <v>21</v>
      </c>
      <c r="AH12" s="111" t="s">
        <v>0</v>
      </c>
      <c r="AI12" s="59" t="s">
        <v>448</v>
      </c>
      <c r="AJ12" s="40" t="s">
        <v>446</v>
      </c>
      <c r="AK12" s="147" t="s">
        <v>426</v>
      </c>
      <c r="AL12" s="30">
        <f t="shared" si="0"/>
        <v>2</v>
      </c>
      <c r="AM12" s="25">
        <f t="shared" si="1"/>
        <v>19</v>
      </c>
      <c r="AN12" s="26">
        <f t="shared" si="2"/>
        <v>10</v>
      </c>
      <c r="AO12" s="29">
        <f t="shared" si="3"/>
        <v>12</v>
      </c>
      <c r="AP12" s="409"/>
      <c r="AS12"/>
      <c r="AT12"/>
    </row>
    <row r="13" spans="1:46" ht="22" customHeight="1" thickBot="1">
      <c r="A13" s="701"/>
      <c r="B13" s="54">
        <v>7</v>
      </c>
      <c r="C13" s="710" t="s">
        <v>29</v>
      </c>
      <c r="D13" s="711"/>
      <c r="E13" s="712" t="s">
        <v>28</v>
      </c>
      <c r="F13" s="713"/>
      <c r="G13" s="258" t="s">
        <v>21</v>
      </c>
      <c r="H13" s="40" t="s">
        <v>429</v>
      </c>
      <c r="I13" s="57" t="s">
        <v>427</v>
      </c>
      <c r="J13" s="40" t="s">
        <v>1</v>
      </c>
      <c r="K13" s="40" t="s">
        <v>2</v>
      </c>
      <c r="L13" s="43" t="s">
        <v>426</v>
      </c>
      <c r="M13" s="43" t="s">
        <v>426</v>
      </c>
      <c r="N13" s="43" t="s">
        <v>446</v>
      </c>
      <c r="O13" s="43" t="s">
        <v>426</v>
      </c>
      <c r="P13" s="50" t="s">
        <v>418</v>
      </c>
      <c r="Q13" s="40" t="s">
        <v>1</v>
      </c>
      <c r="R13" s="40" t="s">
        <v>426</v>
      </c>
      <c r="S13" s="40" t="s">
        <v>426</v>
      </c>
      <c r="T13" s="40" t="s">
        <v>426</v>
      </c>
      <c r="U13" s="40" t="s">
        <v>440</v>
      </c>
      <c r="V13" s="40" t="s">
        <v>431</v>
      </c>
      <c r="W13" s="57" t="s">
        <v>21</v>
      </c>
      <c r="X13" s="40" t="s">
        <v>1</v>
      </c>
      <c r="Y13" s="40" t="s">
        <v>440</v>
      </c>
      <c r="Z13" s="68" t="s">
        <v>440</v>
      </c>
      <c r="AA13" s="118" t="s">
        <v>56</v>
      </c>
      <c r="AB13" s="155" t="s">
        <v>73</v>
      </c>
      <c r="AC13" s="151" t="s">
        <v>428</v>
      </c>
      <c r="AD13" s="57" t="s">
        <v>21</v>
      </c>
      <c r="AE13" s="40" t="s">
        <v>1</v>
      </c>
      <c r="AF13" s="91" t="s">
        <v>40</v>
      </c>
      <c r="AG13" s="43" t="s">
        <v>440</v>
      </c>
      <c r="AH13" s="40" t="s">
        <v>440</v>
      </c>
      <c r="AI13" s="40" t="s">
        <v>438</v>
      </c>
      <c r="AJ13" s="40" t="s">
        <v>442</v>
      </c>
      <c r="AK13" s="99" t="s">
        <v>21</v>
      </c>
      <c r="AL13" s="221">
        <f t="shared" si="0"/>
        <v>3</v>
      </c>
      <c r="AM13" s="260">
        <f t="shared" si="1"/>
        <v>17</v>
      </c>
      <c r="AN13" s="32">
        <f t="shared" si="2"/>
        <v>10</v>
      </c>
      <c r="AO13" s="167">
        <f t="shared" si="3"/>
        <v>13</v>
      </c>
      <c r="AP13" s="10"/>
      <c r="AQ13" s="1">
        <v>3</v>
      </c>
    </row>
    <row r="14" spans="1:46" ht="22" customHeight="1">
      <c r="A14" s="701"/>
      <c r="B14" s="353">
        <v>8</v>
      </c>
      <c r="C14" s="714" t="s">
        <v>25</v>
      </c>
      <c r="D14" s="715"/>
      <c r="E14" s="785" t="s">
        <v>30</v>
      </c>
      <c r="F14" s="771"/>
      <c r="G14" s="128" t="s">
        <v>21</v>
      </c>
      <c r="H14" s="39" t="s">
        <v>448</v>
      </c>
      <c r="I14" s="139" t="s">
        <v>21</v>
      </c>
      <c r="J14" s="79" t="s">
        <v>21</v>
      </c>
      <c r="K14" s="39" t="s">
        <v>2</v>
      </c>
      <c r="L14" s="42" t="s">
        <v>438</v>
      </c>
      <c r="M14" s="89" t="s">
        <v>74</v>
      </c>
      <c r="N14" s="56" t="s">
        <v>21</v>
      </c>
      <c r="O14" s="42" t="s">
        <v>448</v>
      </c>
      <c r="P14" s="42" t="s">
        <v>429</v>
      </c>
      <c r="Q14" s="79" t="s">
        <v>439</v>
      </c>
      <c r="R14" s="498" t="s">
        <v>448</v>
      </c>
      <c r="S14" s="81" t="s">
        <v>446</v>
      </c>
      <c r="T14" s="351" t="s">
        <v>448</v>
      </c>
      <c r="U14" s="169" t="s">
        <v>446</v>
      </c>
      <c r="V14" s="169" t="s">
        <v>448</v>
      </c>
      <c r="W14" s="325" t="s">
        <v>21</v>
      </c>
      <c r="X14" s="349" t="s">
        <v>21</v>
      </c>
      <c r="Y14" s="39" t="s">
        <v>446</v>
      </c>
      <c r="Z14" s="39" t="s">
        <v>446</v>
      </c>
      <c r="AA14" s="79" t="s">
        <v>446</v>
      </c>
      <c r="AB14" s="139" t="s">
        <v>21</v>
      </c>
      <c r="AC14" s="79" t="s">
        <v>446</v>
      </c>
      <c r="AD14" s="39" t="s">
        <v>429</v>
      </c>
      <c r="AE14" s="79" t="s">
        <v>21</v>
      </c>
      <c r="AF14" s="39" t="s">
        <v>446</v>
      </c>
      <c r="AG14" s="42" t="s">
        <v>446</v>
      </c>
      <c r="AH14" s="79" t="s">
        <v>446</v>
      </c>
      <c r="AI14" s="352" t="s">
        <v>83</v>
      </c>
      <c r="AJ14" s="77" t="s">
        <v>450</v>
      </c>
      <c r="AK14" s="393" t="s">
        <v>21</v>
      </c>
      <c r="AL14" s="55">
        <f t="shared" si="0"/>
        <v>0</v>
      </c>
      <c r="AM14" s="21">
        <f t="shared" si="1"/>
        <v>20</v>
      </c>
      <c r="AN14" s="22">
        <f t="shared" si="2"/>
        <v>10</v>
      </c>
      <c r="AO14" s="27">
        <f t="shared" si="3"/>
        <v>10</v>
      </c>
      <c r="AP14" s="243"/>
      <c r="AQ14" s="470" t="s">
        <v>306</v>
      </c>
      <c r="AR14" s="700"/>
      <c r="AS14" s="700"/>
      <c r="AT14"/>
    </row>
    <row r="15" spans="1:46" ht="21.75" customHeight="1">
      <c r="A15" s="19" t="s">
        <v>80</v>
      </c>
      <c r="B15" s="301">
        <v>9</v>
      </c>
      <c r="C15" s="684" t="s">
        <v>49</v>
      </c>
      <c r="D15" s="685"/>
      <c r="E15" s="698" t="s">
        <v>31</v>
      </c>
      <c r="F15" s="699"/>
      <c r="G15" s="258" t="s">
        <v>21</v>
      </c>
      <c r="H15" s="153" t="s">
        <v>441</v>
      </c>
      <c r="I15" s="40" t="s">
        <v>440</v>
      </c>
      <c r="J15" s="89" t="s">
        <v>21</v>
      </c>
      <c r="K15" s="59" t="s">
        <v>417</v>
      </c>
      <c r="L15" s="59" t="s">
        <v>448</v>
      </c>
      <c r="M15" s="89" t="s">
        <v>446</v>
      </c>
      <c r="N15" s="257" t="s">
        <v>446</v>
      </c>
      <c r="O15" s="59" t="s">
        <v>446</v>
      </c>
      <c r="P15" s="57" t="s">
        <v>439</v>
      </c>
      <c r="Q15" s="89" t="s">
        <v>21</v>
      </c>
      <c r="R15" s="499" t="s">
        <v>448</v>
      </c>
      <c r="S15" s="64" t="s">
        <v>446</v>
      </c>
      <c r="T15" s="89" t="s">
        <v>448</v>
      </c>
      <c r="U15" s="114" t="s">
        <v>21</v>
      </c>
      <c r="V15" s="59" t="s">
        <v>446</v>
      </c>
      <c r="W15" s="284" t="s">
        <v>440</v>
      </c>
      <c r="X15" s="74" t="s">
        <v>21</v>
      </c>
      <c r="Y15" s="40" t="s">
        <v>448</v>
      </c>
      <c r="Z15" s="91" t="s">
        <v>40</v>
      </c>
      <c r="AA15" s="89" t="s">
        <v>446</v>
      </c>
      <c r="AB15" s="40" t="s">
        <v>446</v>
      </c>
      <c r="AC15" s="89" t="s">
        <v>448</v>
      </c>
      <c r="AD15" s="57" t="s">
        <v>21</v>
      </c>
      <c r="AE15" s="59" t="s">
        <v>21</v>
      </c>
      <c r="AF15" s="40" t="s">
        <v>446</v>
      </c>
      <c r="AG15" s="91" t="s">
        <v>40</v>
      </c>
      <c r="AH15" s="89" t="s">
        <v>446</v>
      </c>
      <c r="AI15" s="107" t="s">
        <v>68</v>
      </c>
      <c r="AJ15" s="47" t="s">
        <v>448</v>
      </c>
      <c r="AK15" s="107" t="s">
        <v>176</v>
      </c>
      <c r="AL15" s="30">
        <f t="shared" si="0"/>
        <v>2</v>
      </c>
      <c r="AM15" s="25">
        <f t="shared" si="1"/>
        <v>18</v>
      </c>
      <c r="AN15" s="26">
        <v>10</v>
      </c>
      <c r="AO15" s="29">
        <f t="shared" si="3"/>
        <v>12</v>
      </c>
      <c r="AP15" s="10"/>
      <c r="AQ15" t="s">
        <v>145</v>
      </c>
      <c r="AR15" s="96"/>
      <c r="AS15" s="96"/>
    </row>
    <row r="16" spans="1:46" ht="21.75" customHeight="1">
      <c r="A16" s="19"/>
      <c r="B16" s="301">
        <v>10</v>
      </c>
      <c r="C16" s="684" t="s">
        <v>114</v>
      </c>
      <c r="D16" s="685"/>
      <c r="E16" s="698" t="s">
        <v>31</v>
      </c>
      <c r="F16" s="699"/>
      <c r="G16" s="258" t="s">
        <v>21</v>
      </c>
      <c r="H16" s="40" t="s">
        <v>448</v>
      </c>
      <c r="I16" s="40" t="s">
        <v>440</v>
      </c>
      <c r="J16" s="68" t="s">
        <v>21</v>
      </c>
      <c r="K16" s="59" t="s">
        <v>417</v>
      </c>
      <c r="L16" s="68" t="s">
        <v>128</v>
      </c>
      <c r="M16" s="68" t="s">
        <v>446</v>
      </c>
      <c r="N16" s="59" t="s">
        <v>446</v>
      </c>
      <c r="O16" s="40" t="s">
        <v>448</v>
      </c>
      <c r="P16" s="137" t="s">
        <v>21</v>
      </c>
      <c r="Q16" s="68" t="s">
        <v>21</v>
      </c>
      <c r="R16" s="501" t="s">
        <v>21</v>
      </c>
      <c r="S16" s="64" t="s">
        <v>440</v>
      </c>
      <c r="T16" s="68" t="s">
        <v>446</v>
      </c>
      <c r="U16" s="40" t="s">
        <v>448</v>
      </c>
      <c r="V16" s="40" t="s">
        <v>448</v>
      </c>
      <c r="W16" s="382" t="s">
        <v>21</v>
      </c>
      <c r="X16" s="110" t="s">
        <v>21</v>
      </c>
      <c r="Y16" s="230" t="s">
        <v>446</v>
      </c>
      <c r="Z16" s="40" t="s">
        <v>446</v>
      </c>
      <c r="AA16" s="68" t="s">
        <v>448</v>
      </c>
      <c r="AB16" s="230" t="s">
        <v>446</v>
      </c>
      <c r="AC16" s="89" t="s">
        <v>448</v>
      </c>
      <c r="AD16" s="57" t="s">
        <v>445</v>
      </c>
      <c r="AE16" s="68" t="s">
        <v>439</v>
      </c>
      <c r="AF16" s="40" t="s">
        <v>128</v>
      </c>
      <c r="AG16" s="40" t="s">
        <v>451</v>
      </c>
      <c r="AH16" s="114" t="s">
        <v>134</v>
      </c>
      <c r="AI16" s="42" t="s">
        <v>446</v>
      </c>
      <c r="AJ16" s="40" t="s">
        <v>128</v>
      </c>
      <c r="AK16" s="65" t="s">
        <v>440</v>
      </c>
      <c r="AL16" s="30">
        <f t="shared" si="0"/>
        <v>0</v>
      </c>
      <c r="AM16" s="25">
        <f t="shared" si="1"/>
        <v>21</v>
      </c>
      <c r="AN16" s="26">
        <f t="shared" si="2"/>
        <v>10</v>
      </c>
      <c r="AO16" s="29">
        <f t="shared" si="3"/>
        <v>10</v>
      </c>
      <c r="AP16" s="10"/>
      <c r="AQ16" s="1">
        <v>212</v>
      </c>
      <c r="AR16" s="96"/>
      <c r="AS16" s="96"/>
    </row>
    <row r="17" spans="1:83" ht="21.75" customHeight="1" thickBot="1">
      <c r="A17" s="19"/>
      <c r="B17" s="301">
        <v>11</v>
      </c>
      <c r="C17" s="696" t="s">
        <v>192</v>
      </c>
      <c r="D17" s="697"/>
      <c r="E17" s="698" t="s">
        <v>31</v>
      </c>
      <c r="F17" s="699"/>
      <c r="G17" s="58" t="s">
        <v>438</v>
      </c>
      <c r="H17" s="59" t="s">
        <v>446</v>
      </c>
      <c r="I17" s="57" t="s">
        <v>21</v>
      </c>
      <c r="J17" s="74" t="s">
        <v>21</v>
      </c>
      <c r="K17" s="44" t="s">
        <v>417</v>
      </c>
      <c r="L17" s="44" t="s">
        <v>448</v>
      </c>
      <c r="M17" s="122" t="s">
        <v>456</v>
      </c>
      <c r="N17" s="121" t="s">
        <v>86</v>
      </c>
      <c r="O17" s="266" t="s">
        <v>448</v>
      </c>
      <c r="P17" s="171" t="s">
        <v>439</v>
      </c>
      <c r="Q17" s="74" t="s">
        <v>21</v>
      </c>
      <c r="R17" s="341" t="s">
        <v>446</v>
      </c>
      <c r="S17" s="275" t="s">
        <v>446</v>
      </c>
      <c r="T17" s="334" t="s">
        <v>21</v>
      </c>
      <c r="U17" s="275" t="s">
        <v>446</v>
      </c>
      <c r="V17" s="275" t="s">
        <v>446</v>
      </c>
      <c r="W17" s="282" t="s">
        <v>440</v>
      </c>
      <c r="X17" s="74" t="s">
        <v>21</v>
      </c>
      <c r="Y17" s="59" t="s">
        <v>446</v>
      </c>
      <c r="Z17" s="59" t="s">
        <v>446</v>
      </c>
      <c r="AA17" s="223" t="s">
        <v>21</v>
      </c>
      <c r="AB17" s="59" t="s">
        <v>446</v>
      </c>
      <c r="AC17" s="89" t="s">
        <v>446</v>
      </c>
      <c r="AD17" s="114" t="s">
        <v>21</v>
      </c>
      <c r="AE17" s="74" t="s">
        <v>21</v>
      </c>
      <c r="AF17" s="44" t="s">
        <v>448</v>
      </c>
      <c r="AG17" s="44" t="s">
        <v>118</v>
      </c>
      <c r="AH17" s="122" t="s">
        <v>446</v>
      </c>
      <c r="AI17" s="121" t="s">
        <v>452</v>
      </c>
      <c r="AJ17" s="171" t="s">
        <v>457</v>
      </c>
      <c r="AK17" s="365" t="s">
        <v>440</v>
      </c>
      <c r="AL17" s="30">
        <f t="shared" si="0"/>
        <v>0</v>
      </c>
      <c r="AM17" s="25">
        <f t="shared" si="1"/>
        <v>21</v>
      </c>
      <c r="AN17" s="26">
        <f t="shared" si="2"/>
        <v>10</v>
      </c>
      <c r="AO17" s="29">
        <f t="shared" si="3"/>
        <v>10</v>
      </c>
      <c r="AP17" s="10"/>
      <c r="AQ17" s="689"/>
      <c r="AR17" s="689"/>
      <c r="AS17" s="653"/>
      <c r="AT17" s="653"/>
      <c r="AU17" s="156"/>
      <c r="AV17" s="157"/>
      <c r="AW17" s="157"/>
      <c r="AX17" s="218"/>
      <c r="AY17" s="157"/>
      <c r="AZ17" s="218"/>
      <c r="BA17" s="157"/>
      <c r="BB17" s="203"/>
      <c r="BC17" s="157"/>
      <c r="BD17" s="157"/>
      <c r="BE17" s="157"/>
      <c r="BF17" s="157"/>
      <c r="BG17" s="157"/>
      <c r="BH17" s="157"/>
      <c r="BI17" s="156"/>
      <c r="BJ17" s="157"/>
      <c r="BK17" s="157"/>
      <c r="BL17" s="158"/>
      <c r="BM17" s="158"/>
      <c r="BN17" s="157"/>
      <c r="BO17" s="157"/>
      <c r="BP17" s="302"/>
      <c r="BQ17" s="157"/>
      <c r="BR17" s="157"/>
      <c r="BS17" s="158"/>
      <c r="BT17" s="157"/>
      <c r="BU17" s="299"/>
      <c r="BV17" s="157"/>
      <c r="BW17" s="157"/>
      <c r="BX17" s="157"/>
      <c r="BY17" s="156"/>
      <c r="BZ17" s="159"/>
      <c r="CA17" s="161"/>
      <c r="CB17" s="160"/>
      <c r="CC17" s="160"/>
    </row>
    <row r="18" spans="1:83" ht="21.75" customHeight="1">
      <c r="A18" s="19"/>
      <c r="B18" s="301">
        <v>12</v>
      </c>
      <c r="C18" s="682" t="s">
        <v>39</v>
      </c>
      <c r="D18" s="683"/>
      <c r="E18" s="698" t="s">
        <v>31</v>
      </c>
      <c r="F18" s="699"/>
      <c r="G18" s="205" t="s">
        <v>40</v>
      </c>
      <c r="H18" s="137" t="s">
        <v>21</v>
      </c>
      <c r="I18" s="114" t="s">
        <v>21</v>
      </c>
      <c r="J18" s="74" t="s">
        <v>21</v>
      </c>
      <c r="K18" s="270" t="s">
        <v>417</v>
      </c>
      <c r="L18" s="169" t="s">
        <v>446</v>
      </c>
      <c r="M18" s="169" t="s">
        <v>118</v>
      </c>
      <c r="N18" s="169" t="s">
        <v>448</v>
      </c>
      <c r="O18" s="169" t="s">
        <v>446</v>
      </c>
      <c r="P18" s="316" t="s">
        <v>439</v>
      </c>
      <c r="Q18" s="47" t="s">
        <v>21</v>
      </c>
      <c r="R18" s="71" t="s">
        <v>446</v>
      </c>
      <c r="S18" s="40" t="s">
        <v>448</v>
      </c>
      <c r="T18" s="62" t="s">
        <v>446</v>
      </c>
      <c r="U18" s="56" t="s">
        <v>21</v>
      </c>
      <c r="V18" s="42" t="s">
        <v>446</v>
      </c>
      <c r="W18" s="71" t="s">
        <v>440</v>
      </c>
      <c r="X18" s="47" t="s">
        <v>21</v>
      </c>
      <c r="Y18" s="47" t="s">
        <v>128</v>
      </c>
      <c r="Z18" s="47" t="s">
        <v>128</v>
      </c>
      <c r="AA18" s="47" t="s">
        <v>446</v>
      </c>
      <c r="AB18" s="59" t="s">
        <v>446</v>
      </c>
      <c r="AC18" s="89" t="s">
        <v>446</v>
      </c>
      <c r="AD18" s="137" t="s">
        <v>21</v>
      </c>
      <c r="AE18" s="74" t="s">
        <v>21</v>
      </c>
      <c r="AF18" s="270" t="s">
        <v>448</v>
      </c>
      <c r="AG18" s="169" t="s">
        <v>446</v>
      </c>
      <c r="AH18" s="169" t="s">
        <v>446</v>
      </c>
      <c r="AI18" s="169" t="s">
        <v>446</v>
      </c>
      <c r="AJ18" s="169" t="s">
        <v>448</v>
      </c>
      <c r="AK18" s="325" t="s">
        <v>21</v>
      </c>
      <c r="AL18" s="268">
        <f t="shared" si="0"/>
        <v>1</v>
      </c>
      <c r="AM18" s="25">
        <f t="shared" si="1"/>
        <v>20</v>
      </c>
      <c r="AN18" s="26">
        <f t="shared" si="2"/>
        <v>10</v>
      </c>
      <c r="AO18" s="29">
        <f t="shared" si="3"/>
        <v>11</v>
      </c>
      <c r="AP18" s="238"/>
      <c r="AQ18" s="689"/>
      <c r="AR18" s="689"/>
      <c r="AS18" s="653"/>
      <c r="AT18" s="653"/>
      <c r="AU18" s="156"/>
      <c r="AV18" s="157"/>
      <c r="AW18" s="157"/>
      <c r="AX18" s="158"/>
      <c r="AY18" s="156"/>
      <c r="AZ18" s="156"/>
      <c r="BA18" s="156"/>
      <c r="BB18" s="156"/>
      <c r="BC18" s="157"/>
      <c r="BD18" s="206"/>
      <c r="BE18" s="206"/>
      <c r="BF18" s="218"/>
      <c r="BG18" s="206"/>
      <c r="BH18" s="16"/>
      <c r="BI18" s="156"/>
      <c r="BJ18" s="157"/>
      <c r="BK18" s="206"/>
      <c r="BL18" s="218"/>
      <c r="BM18" s="218"/>
      <c r="BN18" s="218"/>
      <c r="BO18" s="206"/>
      <c r="BP18" s="203"/>
      <c r="BQ18" s="157"/>
      <c r="BR18" s="206"/>
      <c r="BS18" s="218"/>
      <c r="BT18" s="218"/>
      <c r="BU18" s="306"/>
      <c r="BV18" s="218"/>
      <c r="BW18" s="203"/>
      <c r="BX18" s="157"/>
      <c r="BY18" s="157"/>
      <c r="BZ18" s="159"/>
      <c r="CA18" s="161"/>
      <c r="CB18" s="160"/>
      <c r="CC18" s="160"/>
    </row>
    <row r="19" spans="1:83" ht="22" customHeight="1">
      <c r="A19" s="19"/>
      <c r="B19" s="301">
        <v>13</v>
      </c>
      <c r="C19" s="690" t="s">
        <v>38</v>
      </c>
      <c r="D19" s="691"/>
      <c r="E19" s="686" t="s">
        <v>31</v>
      </c>
      <c r="F19" s="686"/>
      <c r="G19" s="217" t="s">
        <v>21</v>
      </c>
      <c r="H19" s="40" t="s">
        <v>446</v>
      </c>
      <c r="I19" s="40" t="s">
        <v>440</v>
      </c>
      <c r="J19" s="68" t="s">
        <v>21</v>
      </c>
      <c r="K19" s="280" t="s">
        <v>2</v>
      </c>
      <c r="L19" s="114" t="s">
        <v>21</v>
      </c>
      <c r="M19" s="40" t="s">
        <v>446</v>
      </c>
      <c r="N19" s="40" t="s">
        <v>448</v>
      </c>
      <c r="O19" s="40" t="s">
        <v>446</v>
      </c>
      <c r="P19" s="272" t="s">
        <v>21</v>
      </c>
      <c r="Q19" s="64" t="s">
        <v>21</v>
      </c>
      <c r="R19" s="59" t="s">
        <v>446</v>
      </c>
      <c r="S19" s="40" t="s">
        <v>448</v>
      </c>
      <c r="T19" s="40" t="s">
        <v>446</v>
      </c>
      <c r="U19" s="59" t="s">
        <v>448</v>
      </c>
      <c r="V19" s="40" t="s">
        <v>448</v>
      </c>
      <c r="W19" s="57" t="s">
        <v>21</v>
      </c>
      <c r="X19" s="40" t="s">
        <v>21</v>
      </c>
      <c r="Y19" s="59" t="s">
        <v>448</v>
      </c>
      <c r="Z19" s="40" t="s">
        <v>448</v>
      </c>
      <c r="AA19" s="40" t="s">
        <v>446</v>
      </c>
      <c r="AB19" s="394" t="s">
        <v>454</v>
      </c>
      <c r="AC19" s="40" t="s">
        <v>446</v>
      </c>
      <c r="AD19" s="40" t="s">
        <v>448</v>
      </c>
      <c r="AE19" s="68" t="s">
        <v>21</v>
      </c>
      <c r="AF19" s="280" t="s">
        <v>446</v>
      </c>
      <c r="AG19" s="91" t="s">
        <v>443</v>
      </c>
      <c r="AH19" s="40" t="s">
        <v>446</v>
      </c>
      <c r="AI19" s="40" t="s">
        <v>446</v>
      </c>
      <c r="AJ19" s="40" t="s">
        <v>446</v>
      </c>
      <c r="AK19" s="272" t="s">
        <v>21</v>
      </c>
      <c r="AL19" s="268">
        <f t="shared" si="0"/>
        <v>1</v>
      </c>
      <c r="AM19" s="25">
        <f t="shared" si="1"/>
        <v>20</v>
      </c>
      <c r="AN19" s="26">
        <f t="shared" si="2"/>
        <v>10</v>
      </c>
      <c r="AO19" s="29">
        <f t="shared" si="3"/>
        <v>11</v>
      </c>
      <c r="AP19" s="10"/>
      <c r="AQ19" s="303"/>
      <c r="AR19" s="692"/>
      <c r="AS19" s="692"/>
      <c r="AT19" s="693"/>
      <c r="AU19" s="693"/>
      <c r="AV19" s="158"/>
      <c r="AW19" s="157"/>
      <c r="AX19" s="157"/>
      <c r="AY19" s="158"/>
      <c r="AZ19" s="157"/>
      <c r="BA19" s="157"/>
      <c r="BB19" s="157"/>
      <c r="BC19" s="157"/>
      <c r="BD19" s="157"/>
      <c r="BE19" s="157"/>
      <c r="BF19" s="158"/>
      <c r="BG19" s="157"/>
      <c r="BH19" s="158"/>
      <c r="BI19" s="158"/>
      <c r="BJ19" s="158"/>
      <c r="BK19" s="157"/>
      <c r="BL19" s="158"/>
      <c r="BM19" s="157"/>
      <c r="BN19" s="157"/>
      <c r="BO19" s="304"/>
      <c r="BP19" s="157"/>
      <c r="BQ19" s="157"/>
      <c r="BR19" s="157"/>
      <c r="BS19" s="157"/>
      <c r="BT19" s="158"/>
      <c r="BU19" s="157"/>
      <c r="BV19" s="299"/>
      <c r="BW19" s="157"/>
      <c r="BX19" s="158"/>
      <c r="BY19" s="157"/>
      <c r="BZ19" s="158"/>
      <c r="CA19" s="305"/>
      <c r="CB19" s="161"/>
      <c r="CC19" s="161"/>
      <c r="CD19" s="161"/>
    </row>
    <row r="20" spans="1:83" ht="22" customHeight="1" thickBot="1">
      <c r="A20" s="19"/>
      <c r="B20" s="301">
        <v>14</v>
      </c>
      <c r="C20" s="684" t="s">
        <v>200</v>
      </c>
      <c r="D20" s="685"/>
      <c r="E20" s="694" t="s">
        <v>31</v>
      </c>
      <c r="F20" s="695"/>
      <c r="G20" s="66" t="s">
        <v>436</v>
      </c>
      <c r="H20" s="121" t="s">
        <v>448</v>
      </c>
      <c r="I20" s="83" t="s">
        <v>21</v>
      </c>
      <c r="J20" s="74" t="s">
        <v>21</v>
      </c>
      <c r="K20" s="341" t="s">
        <v>417</v>
      </c>
      <c r="L20" s="321" t="s">
        <v>446</v>
      </c>
      <c r="M20" s="344" t="s">
        <v>458</v>
      </c>
      <c r="N20" s="281" t="s">
        <v>21</v>
      </c>
      <c r="O20" s="321" t="s">
        <v>448</v>
      </c>
      <c r="P20" s="278" t="s">
        <v>440</v>
      </c>
      <c r="Q20" s="47" t="s">
        <v>21</v>
      </c>
      <c r="R20" s="40" t="s">
        <v>448</v>
      </c>
      <c r="S20" s="47" t="s">
        <v>128</v>
      </c>
      <c r="T20" s="47" t="s">
        <v>446</v>
      </c>
      <c r="U20" s="47" t="s">
        <v>446</v>
      </c>
      <c r="V20" s="40" t="s">
        <v>448</v>
      </c>
      <c r="W20" s="57" t="s">
        <v>21</v>
      </c>
      <c r="X20" s="47" t="s">
        <v>21</v>
      </c>
      <c r="Y20" s="59" t="s">
        <v>448</v>
      </c>
      <c r="Z20" s="57" t="s">
        <v>21</v>
      </c>
      <c r="AA20" s="84" t="s">
        <v>128</v>
      </c>
      <c r="AB20" s="84" t="s">
        <v>446</v>
      </c>
      <c r="AC20" s="42" t="s">
        <v>446</v>
      </c>
      <c r="AD20" s="83" t="s">
        <v>21</v>
      </c>
      <c r="AE20" s="74" t="s">
        <v>21</v>
      </c>
      <c r="AF20" s="341" t="s">
        <v>446</v>
      </c>
      <c r="AG20" s="321" t="s">
        <v>448</v>
      </c>
      <c r="AH20" s="342" t="s">
        <v>448</v>
      </c>
      <c r="AI20" s="281" t="s">
        <v>21</v>
      </c>
      <c r="AJ20" s="275" t="s">
        <v>448</v>
      </c>
      <c r="AK20" s="278" t="s">
        <v>448</v>
      </c>
      <c r="AL20" s="369">
        <f t="shared" si="0"/>
        <v>1</v>
      </c>
      <c r="AM20" s="260">
        <f t="shared" si="1"/>
        <v>20</v>
      </c>
      <c r="AN20" s="32">
        <f t="shared" si="2"/>
        <v>10</v>
      </c>
      <c r="AO20" s="167">
        <f t="shared" si="3"/>
        <v>11</v>
      </c>
      <c r="AP20" s="10"/>
      <c r="AQ20" s="689"/>
      <c r="AR20" s="689"/>
      <c r="AS20" s="653"/>
      <c r="AT20" s="653"/>
      <c r="AU20" s="304"/>
      <c r="AV20" s="158"/>
      <c r="AW20" s="158"/>
      <c r="AX20" s="158"/>
      <c r="AY20" s="157"/>
      <c r="AZ20" s="157"/>
      <c r="BA20" s="158"/>
      <c r="BB20" s="156"/>
      <c r="BC20" s="158"/>
      <c r="BD20" s="158"/>
      <c r="BE20" s="489"/>
      <c r="BF20" s="157"/>
      <c r="BG20" s="156"/>
      <c r="BH20" s="158"/>
      <c r="BI20" s="158"/>
      <c r="BJ20" s="489"/>
      <c r="BK20" s="157"/>
      <c r="BL20" s="158"/>
      <c r="BM20" s="157"/>
      <c r="BN20" s="158"/>
      <c r="BO20" s="158"/>
      <c r="BP20" s="203"/>
      <c r="BQ20" s="158"/>
      <c r="BR20" s="304"/>
      <c r="BS20" s="304"/>
      <c r="BT20" s="157"/>
      <c r="BU20" s="156"/>
      <c r="BV20" s="158"/>
      <c r="BW20" s="156"/>
      <c r="BX20" s="158"/>
      <c r="BY20" s="158"/>
      <c r="BZ20" s="159"/>
      <c r="CA20" s="161"/>
      <c r="CB20" s="160"/>
      <c r="CC20" s="160"/>
    </row>
    <row r="21" spans="1:83" ht="22" customHeight="1">
      <c r="A21" s="19"/>
      <c r="B21" s="301">
        <v>15</v>
      </c>
      <c r="C21" s="684" t="s">
        <v>26</v>
      </c>
      <c r="D21" s="685"/>
      <c r="E21" s="686" t="s">
        <v>31</v>
      </c>
      <c r="F21" s="686"/>
      <c r="G21" s="323" t="s">
        <v>440</v>
      </c>
      <c r="H21" s="319" t="s">
        <v>21</v>
      </c>
      <c r="I21" s="287" t="s">
        <v>440</v>
      </c>
      <c r="J21" s="47" t="s">
        <v>21</v>
      </c>
      <c r="K21" s="71" t="s">
        <v>2</v>
      </c>
      <c r="L21" s="42" t="s">
        <v>440</v>
      </c>
      <c r="M21" s="42" t="s">
        <v>446</v>
      </c>
      <c r="N21" s="42" t="s">
        <v>446</v>
      </c>
      <c r="O21" s="71" t="s">
        <v>448</v>
      </c>
      <c r="P21" s="56" t="s">
        <v>21</v>
      </c>
      <c r="Q21" s="59" t="s">
        <v>21</v>
      </c>
      <c r="R21" s="59" t="s">
        <v>448</v>
      </c>
      <c r="S21" s="114" t="s">
        <v>21</v>
      </c>
      <c r="T21" s="59" t="s">
        <v>448</v>
      </c>
      <c r="U21" s="40" t="s">
        <v>446</v>
      </c>
      <c r="V21" s="40" t="s">
        <v>446</v>
      </c>
      <c r="W21" s="40" t="s">
        <v>440</v>
      </c>
      <c r="X21" s="89" t="s">
        <v>21</v>
      </c>
      <c r="Y21" s="324" t="s">
        <v>40</v>
      </c>
      <c r="Z21" s="169" t="s">
        <v>74</v>
      </c>
      <c r="AA21" s="169" t="s">
        <v>446</v>
      </c>
      <c r="AB21" s="169" t="s">
        <v>446</v>
      </c>
      <c r="AC21" s="317" t="s">
        <v>446</v>
      </c>
      <c r="AD21" s="325" t="s">
        <v>21</v>
      </c>
      <c r="AE21" s="47" t="s">
        <v>21</v>
      </c>
      <c r="AF21" s="71" t="s">
        <v>446</v>
      </c>
      <c r="AG21" s="56" t="s">
        <v>454</v>
      </c>
      <c r="AH21" s="71" t="s">
        <v>446</v>
      </c>
      <c r="AI21" s="42" t="s">
        <v>453</v>
      </c>
      <c r="AJ21" s="71" t="s">
        <v>446</v>
      </c>
      <c r="AK21" s="223" t="s">
        <v>21</v>
      </c>
      <c r="AL21" s="55">
        <f t="shared" si="0"/>
        <v>1</v>
      </c>
      <c r="AM21" s="21">
        <f t="shared" si="1"/>
        <v>20</v>
      </c>
      <c r="AN21" s="22">
        <f t="shared" si="2"/>
        <v>10</v>
      </c>
      <c r="AO21" s="27">
        <f t="shared" si="3"/>
        <v>11</v>
      </c>
      <c r="AP21" s="10"/>
      <c r="AQ21" s="652"/>
      <c r="AR21" s="652"/>
      <c r="AS21" s="653"/>
      <c r="AT21" s="653"/>
      <c r="AU21" s="203"/>
      <c r="AV21" s="158"/>
      <c r="AW21" s="157"/>
      <c r="AX21" s="158"/>
      <c r="AY21" s="158"/>
      <c r="AZ21" s="157"/>
      <c r="BA21" s="157"/>
      <c r="BB21" s="203"/>
      <c r="BC21" s="158"/>
      <c r="BD21" s="157"/>
      <c r="BE21" s="156"/>
      <c r="BF21" s="158"/>
      <c r="BG21" s="158"/>
      <c r="BH21" s="157"/>
      <c r="BI21" s="158"/>
      <c r="BJ21" s="158"/>
      <c r="BK21" s="158"/>
      <c r="BL21" s="158"/>
      <c r="BM21" s="158"/>
      <c r="BN21" s="158"/>
      <c r="BO21" s="158"/>
      <c r="BP21" s="203"/>
      <c r="BQ21" s="158"/>
      <c r="BR21" s="157"/>
      <c r="BS21" s="158"/>
      <c r="BT21" s="158"/>
      <c r="BU21" s="158"/>
      <c r="BV21" s="156"/>
      <c r="BW21" s="158"/>
      <c r="BX21" s="158"/>
      <c r="BY21" s="156"/>
      <c r="BZ21" s="159"/>
      <c r="CA21" s="161"/>
      <c r="CB21" s="160"/>
      <c r="CC21" s="160"/>
    </row>
    <row r="22" spans="1:83" ht="22" customHeight="1">
      <c r="A22" s="19"/>
      <c r="B22" s="301">
        <v>16</v>
      </c>
      <c r="C22" s="687" t="s">
        <v>45</v>
      </c>
      <c r="D22" s="688"/>
      <c r="E22" s="686" t="s">
        <v>31</v>
      </c>
      <c r="F22" s="686"/>
      <c r="G22" s="497" t="s">
        <v>21</v>
      </c>
      <c r="H22" s="59" t="s">
        <v>446</v>
      </c>
      <c r="I22" s="272" t="s">
        <v>21</v>
      </c>
      <c r="J22" s="47" t="s">
        <v>21</v>
      </c>
      <c r="K22" s="40" t="s">
        <v>2</v>
      </c>
      <c r="L22" s="40" t="s">
        <v>448</v>
      </c>
      <c r="M22" s="59" t="s">
        <v>446</v>
      </c>
      <c r="N22" s="40" t="s">
        <v>446</v>
      </c>
      <c r="O22" s="59" t="s">
        <v>448</v>
      </c>
      <c r="P22" s="137" t="s">
        <v>21</v>
      </c>
      <c r="Q22" s="59" t="s">
        <v>21</v>
      </c>
      <c r="R22" s="40" t="s">
        <v>152</v>
      </c>
      <c r="S22" s="40" t="s">
        <v>448</v>
      </c>
      <c r="T22" s="59" t="s">
        <v>446</v>
      </c>
      <c r="U22" s="59" t="s">
        <v>448</v>
      </c>
      <c r="V22" s="59" t="s">
        <v>446</v>
      </c>
      <c r="W22" s="223" t="s">
        <v>21</v>
      </c>
      <c r="X22" s="89" t="s">
        <v>21</v>
      </c>
      <c r="Y22" s="285" t="s">
        <v>446</v>
      </c>
      <c r="Z22" s="40" t="s">
        <v>446</v>
      </c>
      <c r="AA22" s="59" t="s">
        <v>446</v>
      </c>
      <c r="AB22" s="57" t="s">
        <v>21</v>
      </c>
      <c r="AC22" s="89" t="s">
        <v>448</v>
      </c>
      <c r="AD22" s="313" t="s">
        <v>442</v>
      </c>
      <c r="AE22" s="47" t="s">
        <v>21</v>
      </c>
      <c r="AF22" s="91" t="s">
        <v>40</v>
      </c>
      <c r="AG22" s="40" t="s">
        <v>446</v>
      </c>
      <c r="AH22" s="59" t="s">
        <v>446</v>
      </c>
      <c r="AI22" s="40" t="s">
        <v>446</v>
      </c>
      <c r="AJ22" s="114" t="s">
        <v>21</v>
      </c>
      <c r="AK22" s="65" t="s">
        <v>446</v>
      </c>
      <c r="AL22" s="30">
        <f t="shared" si="0"/>
        <v>1</v>
      </c>
      <c r="AM22" s="25">
        <f t="shared" si="1"/>
        <v>20</v>
      </c>
      <c r="AN22" s="26">
        <f t="shared" si="2"/>
        <v>10</v>
      </c>
      <c r="AO22" s="29">
        <f t="shared" si="3"/>
        <v>11</v>
      </c>
      <c r="AP22" s="10"/>
      <c r="AQ22" s="689"/>
      <c r="AR22" s="689"/>
      <c r="AS22" s="653"/>
      <c r="AT22" s="653"/>
      <c r="AU22" s="304"/>
      <c r="AV22" s="158"/>
      <c r="AW22" s="158"/>
      <c r="AX22" s="158"/>
      <c r="AY22" s="157"/>
      <c r="AZ22" s="157"/>
      <c r="BA22" s="158"/>
      <c r="BB22" s="156"/>
      <c r="BC22" s="158"/>
      <c r="BD22" s="158"/>
      <c r="BE22" s="489"/>
      <c r="BF22" s="157"/>
      <c r="BG22" s="156"/>
      <c r="BH22" s="158"/>
      <c r="BI22" s="158"/>
      <c r="BJ22" s="489"/>
      <c r="BK22" s="157"/>
      <c r="BL22" s="158"/>
      <c r="BM22" s="157"/>
      <c r="BN22" s="158"/>
      <c r="BO22" s="158"/>
      <c r="BP22" s="203"/>
      <c r="BQ22" s="158"/>
      <c r="BR22" s="304"/>
      <c r="BS22" s="304"/>
      <c r="BT22" s="157"/>
      <c r="BU22" s="156"/>
      <c r="BV22" s="158"/>
      <c r="BW22" s="156"/>
      <c r="BX22" s="158"/>
      <c r="BY22" s="189"/>
    </row>
    <row r="23" spans="1:83" ht="22" customHeight="1">
      <c r="A23" s="19"/>
      <c r="B23" s="301">
        <v>17</v>
      </c>
      <c r="C23" s="682" t="s">
        <v>95</v>
      </c>
      <c r="D23" s="683"/>
      <c r="E23" s="673" t="s">
        <v>31</v>
      </c>
      <c r="F23" s="674"/>
      <c r="G23" s="273" t="s">
        <v>21</v>
      </c>
      <c r="H23" s="40" t="s">
        <v>446</v>
      </c>
      <c r="I23" s="272" t="s">
        <v>21</v>
      </c>
      <c r="J23" s="64" t="s">
        <v>21</v>
      </c>
      <c r="K23" s="59" t="s">
        <v>417</v>
      </c>
      <c r="L23" s="59" t="s">
        <v>448</v>
      </c>
      <c r="M23" s="64" t="s">
        <v>446</v>
      </c>
      <c r="N23" s="40" t="s">
        <v>128</v>
      </c>
      <c r="O23" s="40" t="s">
        <v>446</v>
      </c>
      <c r="P23" s="40" t="s">
        <v>440</v>
      </c>
      <c r="Q23" s="64" t="s">
        <v>1</v>
      </c>
      <c r="R23" s="59" t="s">
        <v>446</v>
      </c>
      <c r="S23" s="40" t="s">
        <v>446</v>
      </c>
      <c r="T23" s="64" t="s">
        <v>450</v>
      </c>
      <c r="U23" s="64" t="s">
        <v>147</v>
      </c>
      <c r="V23" s="57" t="s">
        <v>150</v>
      </c>
      <c r="W23" s="114" t="s">
        <v>1</v>
      </c>
      <c r="X23" s="110" t="s">
        <v>21</v>
      </c>
      <c r="Y23" s="280" t="s">
        <v>446</v>
      </c>
      <c r="Z23" s="59" t="s">
        <v>455</v>
      </c>
      <c r="AA23" s="64" t="s">
        <v>448</v>
      </c>
      <c r="AB23" s="59" t="s">
        <v>448</v>
      </c>
      <c r="AC23" s="68" t="s">
        <v>448</v>
      </c>
      <c r="AD23" s="272" t="s">
        <v>21</v>
      </c>
      <c r="AE23" s="64" t="s">
        <v>21</v>
      </c>
      <c r="AF23" s="59" t="s">
        <v>446</v>
      </c>
      <c r="AG23" s="40" t="s">
        <v>446</v>
      </c>
      <c r="AH23" s="40" t="s">
        <v>128</v>
      </c>
      <c r="AI23" s="40" t="s">
        <v>448</v>
      </c>
      <c r="AJ23" s="40" t="s">
        <v>446</v>
      </c>
      <c r="AK23" s="223" t="s">
        <v>21</v>
      </c>
      <c r="AL23" s="30">
        <f t="shared" si="0"/>
        <v>0</v>
      </c>
      <c r="AM23" s="25">
        <f t="shared" si="1"/>
        <v>21</v>
      </c>
      <c r="AN23" s="26">
        <f t="shared" si="2"/>
        <v>10</v>
      </c>
      <c r="AO23" s="29">
        <f t="shared" si="3"/>
        <v>10</v>
      </c>
      <c r="AP23" s="10"/>
      <c r="AR23" s="96"/>
      <c r="AS23" s="96"/>
    </row>
    <row r="24" spans="1:83" ht="22" customHeight="1" thickBot="1">
      <c r="A24" s="19"/>
      <c r="B24" s="54">
        <v>18</v>
      </c>
      <c r="C24" s="675" t="s">
        <v>48</v>
      </c>
      <c r="D24" s="676"/>
      <c r="E24" s="677" t="s">
        <v>31</v>
      </c>
      <c r="F24" s="677"/>
      <c r="G24" s="274" t="s">
        <v>440</v>
      </c>
      <c r="H24" s="275" t="s">
        <v>448</v>
      </c>
      <c r="I24" s="315" t="s">
        <v>21</v>
      </c>
      <c r="J24" s="46" t="s">
        <v>21</v>
      </c>
      <c r="K24" s="93" t="s">
        <v>2</v>
      </c>
      <c r="L24" s="93" t="s">
        <v>448</v>
      </c>
      <c r="M24" s="141" t="s">
        <v>454</v>
      </c>
      <c r="N24" s="93" t="s">
        <v>448</v>
      </c>
      <c r="O24" s="40" t="s">
        <v>446</v>
      </c>
      <c r="P24" s="40" t="s">
        <v>440</v>
      </c>
      <c r="Q24" s="93" t="s">
        <v>21</v>
      </c>
      <c r="R24" s="93" t="s">
        <v>448</v>
      </c>
      <c r="S24" s="43" t="s">
        <v>448</v>
      </c>
      <c r="T24" s="141" t="s">
        <v>21</v>
      </c>
      <c r="U24" s="43" t="s">
        <v>446</v>
      </c>
      <c r="V24" s="93" t="s">
        <v>448</v>
      </c>
      <c r="W24" s="223" t="s">
        <v>21</v>
      </c>
      <c r="X24" s="168" t="s">
        <v>21</v>
      </c>
      <c r="Y24" s="274" t="s">
        <v>448</v>
      </c>
      <c r="Z24" s="321" t="s">
        <v>446</v>
      </c>
      <c r="AA24" s="321" t="s">
        <v>446</v>
      </c>
      <c r="AB24" s="321" t="s">
        <v>446</v>
      </c>
      <c r="AC24" s="500" t="s">
        <v>21</v>
      </c>
      <c r="AD24" s="282" t="s">
        <v>446</v>
      </c>
      <c r="AE24" s="46" t="s">
        <v>21</v>
      </c>
      <c r="AF24" s="93" t="s">
        <v>448</v>
      </c>
      <c r="AG24" s="93" t="s">
        <v>446</v>
      </c>
      <c r="AH24" s="196" t="s">
        <v>40</v>
      </c>
      <c r="AI24" s="93" t="s">
        <v>2</v>
      </c>
      <c r="AJ24" s="93" t="s">
        <v>446</v>
      </c>
      <c r="AK24" s="141" t="s">
        <v>21</v>
      </c>
      <c r="AL24" s="221">
        <f t="shared" si="0"/>
        <v>1</v>
      </c>
      <c r="AM24" s="260">
        <f t="shared" si="1"/>
        <v>20</v>
      </c>
      <c r="AN24" s="32">
        <f t="shared" si="2"/>
        <v>10</v>
      </c>
      <c r="AO24" s="28">
        <f t="shared" si="3"/>
        <v>11</v>
      </c>
      <c r="AP24" s="10"/>
      <c r="AR24" s="300"/>
      <c r="AS24" s="652"/>
      <c r="AT24" s="652"/>
      <c r="AU24" s="653"/>
      <c r="AV24" s="653"/>
      <c r="AW24" s="203"/>
      <c r="AX24" s="157"/>
      <c r="AY24" s="157"/>
      <c r="AZ24" s="298"/>
      <c r="BA24" s="157"/>
      <c r="BB24" s="156"/>
      <c r="BC24" s="157"/>
      <c r="BD24" s="157"/>
      <c r="BE24" s="157"/>
      <c r="BF24" s="204"/>
      <c r="BG24" s="157"/>
      <c r="BH24" s="157"/>
      <c r="BI24" s="298"/>
      <c r="BJ24" s="157"/>
      <c r="BK24" s="157"/>
      <c r="BL24" s="157"/>
      <c r="BM24" s="204"/>
      <c r="BN24" s="156"/>
      <c r="BO24" s="157"/>
      <c r="BP24" s="157"/>
      <c r="BQ24" s="157"/>
      <c r="BR24" s="203"/>
      <c r="BS24" s="157"/>
      <c r="BT24" s="157"/>
      <c r="BU24" s="158"/>
      <c r="BV24" s="157"/>
      <c r="BW24" s="299"/>
      <c r="BX24" s="157"/>
      <c r="BY24" s="157"/>
      <c r="BZ24" s="157"/>
      <c r="CA24" s="157"/>
      <c r="CB24" s="159"/>
      <c r="CC24" s="161"/>
      <c r="CD24" s="160"/>
      <c r="CE24" s="160"/>
    </row>
    <row r="25" spans="1:83" ht="22" customHeight="1">
      <c r="A25" s="19"/>
      <c r="B25" s="416">
        <v>19</v>
      </c>
      <c r="C25" s="678" t="s">
        <v>197</v>
      </c>
      <c r="D25" s="679"/>
      <c r="E25" s="680" t="s">
        <v>94</v>
      </c>
      <c r="F25" s="681"/>
      <c r="G25" s="128" t="s">
        <v>21</v>
      </c>
      <c r="H25" s="39" t="s">
        <v>446</v>
      </c>
      <c r="I25" s="48" t="s">
        <v>21</v>
      </c>
      <c r="J25" s="39" t="s">
        <v>1</v>
      </c>
      <c r="K25" s="39" t="s">
        <v>107</v>
      </c>
      <c r="L25" s="39" t="s">
        <v>448</v>
      </c>
      <c r="M25" s="39" t="s">
        <v>446</v>
      </c>
      <c r="N25" s="39" t="s">
        <v>446</v>
      </c>
      <c r="O25" s="39" t="s">
        <v>448</v>
      </c>
      <c r="P25" s="48" t="s">
        <v>21</v>
      </c>
      <c r="Q25" s="39" t="s">
        <v>1</v>
      </c>
      <c r="R25" s="39" t="s">
        <v>446</v>
      </c>
      <c r="S25" s="120" t="s">
        <v>40</v>
      </c>
      <c r="T25" s="39" t="s">
        <v>449</v>
      </c>
      <c r="U25" s="39" t="s">
        <v>448</v>
      </c>
      <c r="V25" s="39" t="s">
        <v>448</v>
      </c>
      <c r="W25" s="48" t="s">
        <v>21</v>
      </c>
      <c r="X25" s="39" t="s">
        <v>1</v>
      </c>
      <c r="Y25" s="39" t="s">
        <v>446</v>
      </c>
      <c r="Z25" s="39" t="s">
        <v>446</v>
      </c>
      <c r="AA25" s="39" t="s">
        <v>448</v>
      </c>
      <c r="AB25" s="39" t="s">
        <v>448</v>
      </c>
      <c r="AC25" s="79" t="s">
        <v>446</v>
      </c>
      <c r="AD25" s="56" t="s">
        <v>21</v>
      </c>
      <c r="AE25" s="39" t="s">
        <v>1</v>
      </c>
      <c r="AF25" s="39" t="s">
        <v>448</v>
      </c>
      <c r="AG25" s="39" t="s">
        <v>448</v>
      </c>
      <c r="AH25" s="39" t="s">
        <v>448</v>
      </c>
      <c r="AI25" s="39" t="s">
        <v>446</v>
      </c>
      <c r="AJ25" s="39" t="s">
        <v>446</v>
      </c>
      <c r="AK25" s="339" t="s">
        <v>21</v>
      </c>
      <c r="AL25" s="55">
        <f t="shared" si="0"/>
        <v>1</v>
      </c>
      <c r="AM25" s="21">
        <f t="shared" si="1"/>
        <v>20</v>
      </c>
      <c r="AN25" s="22">
        <f t="shared" si="2"/>
        <v>10</v>
      </c>
      <c r="AO25" s="295">
        <f t="shared" si="3"/>
        <v>11</v>
      </c>
      <c r="AP25" s="10" t="s">
        <v>44</v>
      </c>
      <c r="AR25" s="652"/>
      <c r="AS25" s="652"/>
      <c r="AT25" s="653"/>
      <c r="AU25" s="653"/>
      <c r="AV25" s="203"/>
      <c r="AW25" s="157"/>
      <c r="AX25" s="157"/>
      <c r="AY25" s="298"/>
      <c r="AZ25" s="157"/>
      <c r="BA25" s="156"/>
      <c r="BB25" s="157"/>
      <c r="BC25" s="203"/>
      <c r="BD25" s="157"/>
      <c r="BE25" s="204"/>
      <c r="BF25" s="298"/>
      <c r="BG25" s="157"/>
      <c r="BH25" s="158"/>
      <c r="BI25" s="157"/>
      <c r="BJ25" s="298"/>
      <c r="BK25" s="157"/>
      <c r="BL25" s="204"/>
      <c r="BM25" s="156"/>
      <c r="BN25" s="157"/>
      <c r="BO25" s="298"/>
      <c r="BP25" s="157"/>
      <c r="BQ25" s="156"/>
      <c r="BR25" s="157"/>
      <c r="BS25" s="157"/>
      <c r="BT25" s="156"/>
      <c r="BU25" s="157"/>
      <c r="BV25" s="299"/>
      <c r="BW25" s="157"/>
      <c r="BX25" s="203"/>
      <c r="BY25" s="157"/>
      <c r="BZ25" s="157"/>
      <c r="CA25" s="159"/>
      <c r="CB25" s="161"/>
      <c r="CC25" s="160"/>
      <c r="CD25" s="160"/>
    </row>
    <row r="26" spans="1:83" ht="22.5" customHeight="1">
      <c r="A26" s="659"/>
      <c r="B26" s="660" t="s">
        <v>3</v>
      </c>
      <c r="C26" s="661"/>
      <c r="D26" s="661"/>
      <c r="E26" s="662"/>
      <c r="F26" s="297" t="s">
        <v>2</v>
      </c>
      <c r="G26" s="461">
        <f>COUNTIF(G6:G23,"D")</f>
        <v>7</v>
      </c>
      <c r="H26" s="240">
        <f t="shared" ref="H26:AK26" si="4">COUNTIF(H6:H23,"D")</f>
        <v>14</v>
      </c>
      <c r="I26" s="210">
        <f t="shared" si="4"/>
        <v>7</v>
      </c>
      <c r="J26" s="210">
        <f t="shared" si="4"/>
        <v>0</v>
      </c>
      <c r="K26" s="210">
        <f t="shared" si="4"/>
        <v>17</v>
      </c>
      <c r="L26" s="210">
        <f>COUNTIF(L6:L23,"D")</f>
        <v>15</v>
      </c>
      <c r="M26" s="210">
        <f t="shared" si="4"/>
        <v>15</v>
      </c>
      <c r="N26" s="210">
        <f t="shared" si="4"/>
        <v>14</v>
      </c>
      <c r="O26" s="210">
        <f t="shared" si="4"/>
        <v>17</v>
      </c>
      <c r="P26" s="210">
        <f t="shared" si="4"/>
        <v>5</v>
      </c>
      <c r="Q26" s="210">
        <f t="shared" si="4"/>
        <v>0</v>
      </c>
      <c r="R26" s="210">
        <f t="shared" si="4"/>
        <v>15</v>
      </c>
      <c r="S26" s="210">
        <f t="shared" si="4"/>
        <v>16</v>
      </c>
      <c r="T26" s="210">
        <f t="shared" si="4"/>
        <v>14</v>
      </c>
      <c r="U26" s="210">
        <f t="shared" si="4"/>
        <v>15</v>
      </c>
      <c r="V26" s="210">
        <f t="shared" si="4"/>
        <v>15</v>
      </c>
      <c r="W26" s="210">
        <f t="shared" si="4"/>
        <v>6</v>
      </c>
      <c r="X26" s="210">
        <f t="shared" si="4"/>
        <v>0</v>
      </c>
      <c r="Y26" s="210">
        <f t="shared" si="4"/>
        <v>14</v>
      </c>
      <c r="Z26" s="210">
        <f t="shared" si="4"/>
        <v>13</v>
      </c>
      <c r="AA26" s="210">
        <f t="shared" si="4"/>
        <v>13</v>
      </c>
      <c r="AB26" s="210">
        <f t="shared" si="4"/>
        <v>11</v>
      </c>
      <c r="AC26" s="210">
        <f t="shared" si="4"/>
        <v>14</v>
      </c>
      <c r="AD26" s="210">
        <f t="shared" si="4"/>
        <v>5</v>
      </c>
      <c r="AE26" s="210">
        <f t="shared" si="4"/>
        <v>0</v>
      </c>
      <c r="AF26" s="210">
        <f t="shared" si="4"/>
        <v>13</v>
      </c>
      <c r="AG26" s="210">
        <f t="shared" si="4"/>
        <v>13</v>
      </c>
      <c r="AH26" s="210">
        <f t="shared" si="4"/>
        <v>15</v>
      </c>
      <c r="AI26" s="210">
        <f t="shared" si="4"/>
        <v>13</v>
      </c>
      <c r="AJ26" s="496">
        <f t="shared" si="4"/>
        <v>14</v>
      </c>
      <c r="AK26" s="211">
        <f t="shared" si="4"/>
        <v>6</v>
      </c>
      <c r="AL26" s="175">
        <f t="shared" si="0"/>
        <v>0</v>
      </c>
      <c r="AM26" s="33">
        <f t="shared" si="1"/>
        <v>0</v>
      </c>
      <c r="AN26" s="34">
        <f t="shared" si="2"/>
        <v>0</v>
      </c>
      <c r="AO26" s="410">
        <f t="shared" si="3"/>
        <v>0</v>
      </c>
      <c r="AP26" s="10"/>
    </row>
    <row r="27" spans="1:83" ht="22.5" customHeight="1">
      <c r="A27" s="659"/>
      <c r="B27" s="663" t="s">
        <v>4</v>
      </c>
      <c r="C27" s="664"/>
      <c r="D27" s="664"/>
      <c r="E27" s="665"/>
      <c r="F27" s="2" t="s">
        <v>1</v>
      </c>
      <c r="G27" s="14">
        <f t="shared" ref="G27:AK27" si="5">COUNTIF(G6:G25,"●")</f>
        <v>10</v>
      </c>
      <c r="H27" s="14">
        <f t="shared" si="5"/>
        <v>3</v>
      </c>
      <c r="I27" s="14">
        <f t="shared" si="5"/>
        <v>12</v>
      </c>
      <c r="J27" s="14">
        <f t="shared" si="5"/>
        <v>20</v>
      </c>
      <c r="K27" s="14">
        <f t="shared" si="5"/>
        <v>0</v>
      </c>
      <c r="L27" s="14">
        <f t="shared" si="5"/>
        <v>2</v>
      </c>
      <c r="M27" s="14">
        <f t="shared" si="5"/>
        <v>2</v>
      </c>
      <c r="N27" s="14">
        <f t="shared" si="5"/>
        <v>3</v>
      </c>
      <c r="O27" s="14">
        <f t="shared" si="5"/>
        <v>0</v>
      </c>
      <c r="P27" s="14">
        <f t="shared" si="5"/>
        <v>13</v>
      </c>
      <c r="Q27" s="14">
        <f t="shared" si="5"/>
        <v>20</v>
      </c>
      <c r="R27" s="14">
        <f t="shared" si="5"/>
        <v>2</v>
      </c>
      <c r="S27" s="14">
        <f t="shared" si="5"/>
        <v>1</v>
      </c>
      <c r="T27" s="14">
        <f t="shared" si="5"/>
        <v>3</v>
      </c>
      <c r="U27" s="14">
        <f t="shared" si="5"/>
        <v>2</v>
      </c>
      <c r="V27" s="14">
        <f t="shared" si="5"/>
        <v>1</v>
      </c>
      <c r="W27" s="14">
        <f t="shared" si="5"/>
        <v>13</v>
      </c>
      <c r="X27" s="14">
        <f t="shared" si="5"/>
        <v>20</v>
      </c>
      <c r="Y27" s="14">
        <f t="shared" si="5"/>
        <v>2</v>
      </c>
      <c r="Z27" s="14">
        <f t="shared" si="5"/>
        <v>2</v>
      </c>
      <c r="AA27" s="14">
        <f t="shared" si="5"/>
        <v>2</v>
      </c>
      <c r="AB27" s="14">
        <f t="shared" si="5"/>
        <v>5</v>
      </c>
      <c r="AC27" s="14">
        <f t="shared" si="5"/>
        <v>2</v>
      </c>
      <c r="AD27" s="14">
        <f t="shared" si="5"/>
        <v>13</v>
      </c>
      <c r="AE27" s="14">
        <f t="shared" si="5"/>
        <v>20</v>
      </c>
      <c r="AF27" s="14">
        <f t="shared" si="5"/>
        <v>2</v>
      </c>
      <c r="AG27" s="14">
        <f t="shared" si="5"/>
        <v>2</v>
      </c>
      <c r="AH27" s="14">
        <f t="shared" si="5"/>
        <v>1</v>
      </c>
      <c r="AI27" s="14">
        <f t="shared" si="5"/>
        <v>2</v>
      </c>
      <c r="AJ27" s="14">
        <f t="shared" si="5"/>
        <v>3</v>
      </c>
      <c r="AK27" s="14">
        <f t="shared" si="5"/>
        <v>12</v>
      </c>
      <c r="AL27" s="666" t="s">
        <v>174</v>
      </c>
      <c r="AM27" s="667"/>
      <c r="AN27" s="667"/>
      <c r="AO27" s="668"/>
      <c r="AP27" s="10"/>
    </row>
    <row r="28" spans="1:83" ht="22.5" customHeight="1" thickBot="1">
      <c r="A28" s="743"/>
      <c r="B28" s="670" t="s">
        <v>5</v>
      </c>
      <c r="C28" s="671"/>
      <c r="D28" s="671"/>
      <c r="E28" s="672"/>
      <c r="F28" s="3" t="s">
        <v>0</v>
      </c>
      <c r="G28" s="14">
        <f t="shared" ref="G28:AK28" si="6">COUNTIF(G6:G25,"▲")</f>
        <v>1</v>
      </c>
      <c r="H28" s="14">
        <f t="shared" si="6"/>
        <v>0</v>
      </c>
      <c r="I28" s="14">
        <f t="shared" si="6"/>
        <v>0</v>
      </c>
      <c r="J28" s="14">
        <f t="shared" si="6"/>
        <v>0</v>
      </c>
      <c r="K28" s="14">
        <f t="shared" si="6"/>
        <v>0</v>
      </c>
      <c r="L28" s="14">
        <f t="shared" si="6"/>
        <v>0</v>
      </c>
      <c r="M28" s="14">
        <f t="shared" si="6"/>
        <v>1</v>
      </c>
      <c r="N28" s="14">
        <f t="shared" si="6"/>
        <v>0</v>
      </c>
      <c r="O28" s="14">
        <f t="shared" si="6"/>
        <v>0</v>
      </c>
      <c r="P28" s="14">
        <f t="shared" si="6"/>
        <v>0</v>
      </c>
      <c r="Q28" s="14">
        <f t="shared" si="6"/>
        <v>0</v>
      </c>
      <c r="R28" s="14">
        <f t="shared" si="6"/>
        <v>0</v>
      </c>
      <c r="S28" s="14">
        <f t="shared" si="6"/>
        <v>1</v>
      </c>
      <c r="T28" s="14">
        <f t="shared" si="6"/>
        <v>1</v>
      </c>
      <c r="U28" s="14">
        <f t="shared" si="6"/>
        <v>0</v>
      </c>
      <c r="V28" s="14">
        <f t="shared" si="6"/>
        <v>1</v>
      </c>
      <c r="W28" s="14">
        <f t="shared" si="6"/>
        <v>0</v>
      </c>
      <c r="X28" s="14">
        <f t="shared" si="6"/>
        <v>0</v>
      </c>
      <c r="Y28" s="14">
        <f t="shared" si="6"/>
        <v>1</v>
      </c>
      <c r="Z28" s="14">
        <f t="shared" si="6"/>
        <v>2</v>
      </c>
      <c r="AA28" s="14">
        <f t="shared" si="6"/>
        <v>1</v>
      </c>
      <c r="AB28" s="14">
        <f t="shared" si="6"/>
        <v>1</v>
      </c>
      <c r="AC28" s="14">
        <f t="shared" si="6"/>
        <v>1</v>
      </c>
      <c r="AD28" s="14">
        <f t="shared" si="6"/>
        <v>0</v>
      </c>
      <c r="AE28" s="14">
        <f t="shared" si="6"/>
        <v>0</v>
      </c>
      <c r="AF28" s="14">
        <f t="shared" si="6"/>
        <v>2</v>
      </c>
      <c r="AG28" s="14">
        <f t="shared" si="6"/>
        <v>2</v>
      </c>
      <c r="AH28" s="14">
        <f t="shared" si="6"/>
        <v>2</v>
      </c>
      <c r="AI28" s="14">
        <f t="shared" si="6"/>
        <v>0</v>
      </c>
      <c r="AJ28" s="14">
        <f t="shared" si="6"/>
        <v>0</v>
      </c>
      <c r="AK28" s="14">
        <f t="shared" si="6"/>
        <v>0</v>
      </c>
      <c r="AL28" s="52" t="s">
        <v>19</v>
      </c>
      <c r="AM28" s="649" t="s">
        <v>17</v>
      </c>
      <c r="AN28" s="650"/>
      <c r="AO28" s="651"/>
      <c r="AP28" s="10"/>
    </row>
    <row r="29" spans="1:83" ht="22.5" customHeight="1" thickTop="1" thickBot="1">
      <c r="A29" s="743"/>
      <c r="B29" s="654"/>
      <c r="C29" s="654"/>
      <c r="D29" s="654"/>
      <c r="E29" s="654"/>
      <c r="F29" s="654"/>
      <c r="G29" s="286"/>
      <c r="H29" s="651" t="s">
        <v>93</v>
      </c>
      <c r="I29" s="655"/>
      <c r="J29" s="655"/>
      <c r="K29" s="3" t="s">
        <v>0</v>
      </c>
      <c r="L29" s="649" t="s">
        <v>5</v>
      </c>
      <c r="M29" s="651"/>
      <c r="N29" s="5" t="s">
        <v>68</v>
      </c>
      <c r="O29" s="656" t="s">
        <v>177</v>
      </c>
      <c r="P29" s="657"/>
      <c r="Q29" s="658"/>
      <c r="R29" s="5" t="s">
        <v>91</v>
      </c>
      <c r="S29" s="656" t="s">
        <v>179</v>
      </c>
      <c r="T29" s="657"/>
      <c r="U29" s="658"/>
      <c r="V29" s="6" t="s">
        <v>56</v>
      </c>
      <c r="W29" s="644" t="s">
        <v>178</v>
      </c>
      <c r="X29" s="645"/>
      <c r="Y29" s="645"/>
      <c r="Z29" s="6" t="s">
        <v>83</v>
      </c>
      <c r="AA29" s="644" t="s">
        <v>180</v>
      </c>
      <c r="AB29" s="645"/>
      <c r="AC29" s="645"/>
      <c r="AD29" s="152" t="s">
        <v>1</v>
      </c>
      <c r="AE29" s="646" t="s">
        <v>175</v>
      </c>
      <c r="AF29" s="647"/>
      <c r="AG29" s="648"/>
      <c r="AH29" s="2" t="s">
        <v>21</v>
      </c>
      <c r="AI29" s="649" t="s">
        <v>4</v>
      </c>
      <c r="AJ29" s="650"/>
      <c r="AK29" s="651"/>
      <c r="AL29" s="13" t="s">
        <v>20</v>
      </c>
      <c r="AM29" s="649" t="s">
        <v>18</v>
      </c>
      <c r="AN29" s="650"/>
      <c r="AO29" s="651"/>
      <c r="AP29" s="10"/>
    </row>
    <row r="30" spans="1:83" customFormat="1" ht="19" thickTop="1">
      <c r="B30" s="8"/>
      <c r="C30" s="652"/>
      <c r="D30" s="652"/>
      <c r="E30" s="653"/>
      <c r="F30" s="653"/>
      <c r="G30" s="156"/>
      <c r="H30" s="158"/>
      <c r="I30" s="157"/>
      <c r="J30" s="158"/>
      <c r="K30" s="158"/>
      <c r="L30" s="158"/>
      <c r="M30" s="158"/>
      <c r="N30" s="203"/>
      <c r="O30" s="158"/>
      <c r="P30" s="158"/>
      <c r="Q30" s="203"/>
      <c r="R30" s="157"/>
      <c r="S30" s="157"/>
      <c r="T30" s="158"/>
      <c r="U30" s="158"/>
      <c r="V30" s="158"/>
      <c r="W30" s="158"/>
      <c r="X30" s="157"/>
      <c r="Y30" s="157"/>
      <c r="Z30" s="157"/>
      <c r="AA30" s="158"/>
      <c r="AB30" s="203"/>
      <c r="AC30" s="158"/>
      <c r="AD30" s="158"/>
      <c r="AE30" s="203"/>
      <c r="AF30" s="157"/>
      <c r="AG30" s="158"/>
      <c r="AH30" s="158"/>
      <c r="AI30" s="157"/>
      <c r="AJ30" s="158"/>
      <c r="AK30" s="158"/>
      <c r="AN30" s="9"/>
      <c r="AO30" s="11"/>
    </row>
    <row r="31" spans="1:83" s="11" customFormat="1" ht="18">
      <c r="A31" s="1"/>
      <c r="B31" s="652"/>
      <c r="C31" s="652"/>
      <c r="D31" s="652"/>
      <c r="E31" s="652"/>
      <c r="F31" s="653"/>
      <c r="G31" s="653"/>
      <c r="H31" s="156"/>
      <c r="I31" s="158"/>
      <c r="J31" s="157"/>
      <c r="K31" s="158"/>
      <c r="L31" s="158"/>
      <c r="M31" s="157"/>
      <c r="N31" s="157"/>
      <c r="O31" s="203"/>
      <c r="P31" s="158"/>
      <c r="Q31" s="157"/>
      <c r="R31" s="157"/>
      <c r="S31" s="158"/>
      <c r="T31" s="158"/>
      <c r="U31" s="218"/>
      <c r="V31" s="158"/>
      <c r="W31" s="158"/>
      <c r="X31" s="158"/>
      <c r="Y31" s="158"/>
      <c r="Z31" s="156"/>
      <c r="AA31" s="158"/>
      <c r="AB31" s="158"/>
      <c r="AC31" s="158"/>
      <c r="AD31" s="158"/>
      <c r="AE31" s="157"/>
      <c r="AF31" s="158"/>
      <c r="AG31" s="156"/>
      <c r="AH31" s="158"/>
      <c r="AI31" s="158"/>
      <c r="AJ31" s="158"/>
      <c r="AK31" s="158"/>
      <c r="AL31" s="156"/>
      <c r="AM31" s="160"/>
      <c r="AN31" s="160"/>
      <c r="AP31" s="12"/>
      <c r="AQ31" s="1"/>
      <c r="AR31" s="1"/>
      <c r="AS31" s="1"/>
      <c r="AT31" s="1"/>
    </row>
    <row r="32" spans="1:83" s="11" customFormat="1">
      <c r="A32" s="1"/>
      <c r="B32" s="1"/>
      <c r="C32" s="1"/>
      <c r="D32" s="1"/>
      <c r="E32" s="1"/>
      <c r="F32" s="1"/>
      <c r="G32"/>
      <c r="H32" s="1"/>
      <c r="I32" s="1"/>
      <c r="J32" s="8"/>
      <c r="K32" s="8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7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9"/>
      <c r="AP32" s="12"/>
      <c r="AQ32" s="1"/>
      <c r="AR32" s="1"/>
      <c r="AS32" s="1"/>
      <c r="AT32" s="1"/>
    </row>
    <row r="33" spans="1:46" s="11" customFormat="1" ht="18">
      <c r="A33" s="1"/>
      <c r="B33" s="1"/>
      <c r="C33" s="1"/>
      <c r="D33" s="1"/>
      <c r="E33" s="1"/>
      <c r="F33" s="1"/>
      <c r="G33" s="17"/>
      <c r="H33" s="17"/>
      <c r="I33" s="17"/>
      <c r="J33" s="17"/>
      <c r="K33" s="15"/>
      <c r="L33" s="17"/>
      <c r="M33" s="17"/>
      <c r="N33" s="17"/>
      <c r="O33" s="17"/>
      <c r="P33" s="17"/>
      <c r="Q33" s="17"/>
      <c r="R33" s="15"/>
      <c r="S33" s="17"/>
      <c r="T33" s="16"/>
      <c r="U33" s="16"/>
      <c r="V33" s="16"/>
      <c r="W33" s="16"/>
      <c r="X33" s="16"/>
      <c r="Y33" s="15"/>
      <c r="Z33" s="16"/>
      <c r="AA33" s="16"/>
      <c r="AB33" s="16"/>
      <c r="AC33" s="16"/>
      <c r="AD33" s="16"/>
      <c r="AE33" s="16"/>
      <c r="AF33" s="15" t="s">
        <v>41</v>
      </c>
      <c r="AG33" s="16"/>
      <c r="AH33" s="16"/>
      <c r="AI33" s="16"/>
      <c r="AJ33" s="16"/>
      <c r="AK33" s="16"/>
      <c r="AL33" s="1"/>
      <c r="AM33" s="1"/>
      <c r="AN33" s="9"/>
      <c r="AP33" s="12"/>
      <c r="AQ33" s="1"/>
      <c r="AR33" s="1"/>
      <c r="AS33" s="1"/>
      <c r="AT33" s="1"/>
    </row>
    <row r="34" spans="1:46" s="11" customFormat="1">
      <c r="A34" s="1"/>
      <c r="B34" s="1"/>
      <c r="C34" s="1"/>
      <c r="D34" s="1"/>
      <c r="E34" s="1"/>
      <c r="F34" s="1"/>
      <c r="G34"/>
      <c r="H34" s="1"/>
      <c r="I34" s="1"/>
      <c r="J34" s="8"/>
      <c r="K34" s="8"/>
      <c r="L34" s="1"/>
      <c r="M34" t="s">
        <v>27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7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9"/>
      <c r="AP34" s="12"/>
      <c r="AQ34" s="1"/>
      <c r="AR34" s="1"/>
      <c r="AS34" s="1"/>
      <c r="AT34" s="1"/>
    </row>
    <row r="35" spans="1:46" s="11" customFormat="1">
      <c r="A35" s="1"/>
      <c r="B35" s="1"/>
      <c r="C35" s="1"/>
      <c r="D35" s="1"/>
      <c r="E35" s="1"/>
      <c r="F35" s="1"/>
      <c r="G35"/>
      <c r="H35" s="1"/>
      <c r="I35" s="1"/>
      <c r="J35" s="8"/>
      <c r="K35" s="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7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9"/>
      <c r="AP35" s="12"/>
      <c r="AQ35" s="1"/>
      <c r="AR35" s="1"/>
      <c r="AS35" s="1"/>
      <c r="AT35" s="1"/>
    </row>
    <row r="36" spans="1:46" s="11" customFormat="1">
      <c r="A36" s="1"/>
      <c r="B36" s="1"/>
      <c r="C36" s="1"/>
      <c r="D36" s="1"/>
      <c r="E36" s="1"/>
      <c r="F36" s="1"/>
      <c r="G36"/>
      <c r="H36" s="1"/>
      <c r="I36" s="1"/>
      <c r="J36" s="8"/>
      <c r="K36" s="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7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9"/>
      <c r="AP36" s="12"/>
      <c r="AQ36" s="1"/>
      <c r="AR36" s="1"/>
      <c r="AS36" s="1"/>
      <c r="AT36" s="1"/>
    </row>
    <row r="37" spans="1:46" s="11" customFormat="1">
      <c r="A37" s="1"/>
      <c r="B37" s="1"/>
      <c r="C37" s="1"/>
      <c r="D37" s="1"/>
      <c r="E37" s="1"/>
      <c r="F37" s="1"/>
      <c r="G37"/>
      <c r="H37" s="1"/>
      <c r="I37" s="1"/>
      <c r="J37" s="8"/>
      <c r="K37" s="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7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9"/>
      <c r="AP37" s="12"/>
      <c r="AQ37" s="1"/>
      <c r="AR37" s="1"/>
      <c r="AS37" s="1"/>
      <c r="AT37" s="1"/>
    </row>
    <row r="38" spans="1:46" s="11" customFormat="1">
      <c r="A38" s="1"/>
      <c r="B38" s="1"/>
      <c r="C38" s="1"/>
      <c r="D38" s="1"/>
      <c r="E38" s="1"/>
      <c r="F38" s="1"/>
      <c r="G38"/>
      <c r="H38" s="1"/>
      <c r="I38" s="1"/>
      <c r="J38" s="8"/>
      <c r="K38" s="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7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9"/>
      <c r="AP38" s="12"/>
      <c r="AQ38" s="1"/>
      <c r="AR38" s="1"/>
      <c r="AS38" s="1"/>
      <c r="AT38" s="1"/>
    </row>
    <row r="39" spans="1:46" s="11" customFormat="1">
      <c r="A39" s="1"/>
      <c r="B39" s="1"/>
      <c r="C39" s="1"/>
      <c r="D39" s="1"/>
      <c r="E39" s="1"/>
      <c r="F39" s="1"/>
      <c r="G39"/>
      <c r="H39" s="1"/>
      <c r="I39" s="1"/>
      <c r="J39" s="8"/>
      <c r="K39" s="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7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9"/>
      <c r="AP39" s="12"/>
      <c r="AQ39" s="1"/>
      <c r="AR39" s="1"/>
      <c r="AS39" s="1"/>
      <c r="AT39" s="1"/>
    </row>
    <row r="40" spans="1:46" s="11" customFormat="1">
      <c r="A40" s="1"/>
      <c r="B40" s="1"/>
      <c r="C40" s="1"/>
      <c r="D40" s="1"/>
      <c r="E40" s="1"/>
      <c r="F40" s="1"/>
      <c r="G40"/>
      <c r="H40" s="1"/>
      <c r="I40" s="1"/>
      <c r="J40" s="8"/>
      <c r="K40" s="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7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9"/>
      <c r="AP40" s="12"/>
      <c r="AQ40" s="1"/>
      <c r="AR40" s="1"/>
      <c r="AS40" s="1"/>
      <c r="AT40" s="1"/>
    </row>
    <row r="41" spans="1:46" s="11" customFormat="1">
      <c r="A41" s="1"/>
      <c r="B41" s="1"/>
      <c r="C41" s="1"/>
      <c r="D41" s="1"/>
      <c r="E41" s="1"/>
      <c r="F41" s="1"/>
      <c r="G41"/>
      <c r="H41" s="1"/>
      <c r="I41" s="1"/>
      <c r="J41" s="8"/>
      <c r="K41" s="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7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9"/>
      <c r="AP41" s="12"/>
      <c r="AQ41" s="1"/>
      <c r="AR41" s="1"/>
      <c r="AS41" s="1"/>
      <c r="AT41" s="1"/>
    </row>
    <row r="42" spans="1:46" s="11" customFormat="1">
      <c r="A42" s="1"/>
      <c r="B42" s="1"/>
      <c r="C42" s="1"/>
      <c r="D42" s="1"/>
      <c r="E42" s="1"/>
      <c r="F42" s="1"/>
      <c r="G42"/>
      <c r="H42" s="1"/>
      <c r="I42" s="1"/>
      <c r="J42" s="8"/>
      <c r="K42" s="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7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9"/>
      <c r="AP42" s="12"/>
      <c r="AQ42" s="1"/>
      <c r="AR42" s="1"/>
      <c r="AS42" s="1"/>
      <c r="AT42" s="1"/>
    </row>
    <row r="43" spans="1:46" s="11" customFormat="1">
      <c r="A43" s="1"/>
      <c r="B43" s="1"/>
      <c r="C43" s="1"/>
      <c r="D43" s="1"/>
      <c r="E43" s="1"/>
      <c r="F43" s="1"/>
      <c r="G43"/>
      <c r="H43" s="1"/>
      <c r="I43" s="1"/>
      <c r="J43" s="8"/>
      <c r="K43" s="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7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9"/>
      <c r="AP43" s="12"/>
      <c r="AQ43" s="1"/>
      <c r="AR43" s="1"/>
      <c r="AS43" s="1"/>
      <c r="AT43" s="1"/>
    </row>
    <row r="44" spans="1:46" s="11" customFormat="1">
      <c r="A44" s="1"/>
      <c r="B44" s="1"/>
      <c r="C44" s="1"/>
      <c r="D44" s="1"/>
      <c r="E44" s="1"/>
      <c r="F44" s="1"/>
      <c r="G44"/>
      <c r="H44" s="1"/>
      <c r="I44" s="1"/>
      <c r="J44" s="8"/>
      <c r="K44" s="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7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9"/>
      <c r="AP44" s="12"/>
      <c r="AQ44" s="1"/>
      <c r="AR44" s="1"/>
      <c r="AS44" s="1"/>
      <c r="AT44" s="1"/>
    </row>
    <row r="45" spans="1:46" s="11" customFormat="1">
      <c r="A45" s="1"/>
      <c r="B45" s="1"/>
      <c r="C45" s="1"/>
      <c r="D45" s="1"/>
      <c r="E45" s="1"/>
      <c r="F45" s="1"/>
      <c r="G45"/>
      <c r="H45" s="1"/>
      <c r="I45" s="1"/>
      <c r="J45" s="8"/>
      <c r="K45" s="8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7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9"/>
      <c r="AP45" s="12"/>
      <c r="AQ45" s="1"/>
      <c r="AR45" s="1"/>
      <c r="AS45" s="1"/>
      <c r="AT45" s="1"/>
    </row>
    <row r="46" spans="1:46" s="11" customFormat="1">
      <c r="A46" s="1"/>
      <c r="B46" s="1"/>
      <c r="C46" s="1"/>
      <c r="D46" s="1"/>
      <c r="E46" s="1"/>
      <c r="F46" s="1"/>
      <c r="G46"/>
      <c r="H46" s="1"/>
      <c r="I46" s="1"/>
      <c r="J46" s="8"/>
      <c r="K46" s="8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7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9"/>
      <c r="AP46" s="12"/>
      <c r="AQ46" s="1"/>
      <c r="AR46" s="1"/>
      <c r="AS46" s="1"/>
      <c r="AT46" s="1"/>
    </row>
    <row r="47" spans="1:46">
      <c r="Y47" s="1"/>
      <c r="AD47" s="1"/>
    </row>
    <row r="48" spans="1:46" ht="40">
      <c r="R48" s="125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101" priority="11" operator="equal">
      <formula>8</formula>
    </cfRule>
    <cfRule type="cellIs" dxfId="100" priority="12" operator="equal">
      <formula>0</formula>
    </cfRule>
  </conditionalFormatting>
  <conditionalFormatting sqref="BZ20:BZ21">
    <cfRule type="cellIs" dxfId="99" priority="5" operator="equal">
      <formula>8</formula>
    </cfRule>
    <cfRule type="cellIs" dxfId="98" priority="6" operator="equal">
      <formula>0</formula>
    </cfRule>
  </conditionalFormatting>
  <conditionalFormatting sqref="CA19">
    <cfRule type="cellIs" dxfId="97" priority="1" operator="equal">
      <formula>8</formula>
    </cfRule>
    <cfRule type="cellIs" dxfId="96" priority="2" operator="equal">
      <formula>0</formula>
    </cfRule>
  </conditionalFormatting>
  <conditionalFormatting sqref="CA25">
    <cfRule type="cellIs" dxfId="95" priority="3" operator="equal">
      <formula>8</formula>
    </cfRule>
    <cfRule type="cellIs" dxfId="94" priority="4" operator="equal">
      <formula>0</formula>
    </cfRule>
  </conditionalFormatting>
  <conditionalFormatting sqref="CB24">
    <cfRule type="cellIs" dxfId="93" priority="7" operator="equal">
      <formula>8</formula>
    </cfRule>
    <cfRule type="cellIs" dxfId="92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1" sqref="A21:XFD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8" customWidth="1"/>
    <col min="12" max="24" width="3.6640625" style="1" customWidth="1"/>
    <col min="25" max="25" width="3.6640625" style="38" customWidth="1"/>
    <col min="26" max="28" width="3.6640625" style="1" customWidth="1"/>
    <col min="29" max="29" width="3.6640625" style="7" customWidth="1"/>
    <col min="30" max="30" width="3.6640625" style="41" customWidth="1"/>
    <col min="31" max="34" width="3.6640625" style="1" customWidth="1"/>
    <col min="35" max="38" width="3.6640625" style="1" hidden="1" customWidth="1"/>
    <col min="39" max="39" width="3.6640625" style="1" customWidth="1"/>
    <col min="40" max="40" width="8.6640625" style="9" customWidth="1"/>
    <col min="41" max="41" width="5.1640625" style="11" customWidth="1"/>
    <col min="42" max="42" width="9" style="12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18"/>
      <c r="B1" s="729" t="s">
        <v>459</v>
      </c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  <c r="AA1" s="729"/>
      <c r="AB1" s="729"/>
      <c r="AC1" s="729"/>
      <c r="AD1" s="729"/>
      <c r="AE1" s="729"/>
      <c r="AF1" s="729"/>
      <c r="AG1" s="729"/>
      <c r="AH1" s="729"/>
      <c r="AI1" s="729"/>
      <c r="AJ1" s="729"/>
      <c r="AK1" s="729"/>
      <c r="AL1" s="729"/>
      <c r="AM1" s="729"/>
      <c r="AN1" s="729"/>
      <c r="AO1" s="729"/>
    </row>
    <row r="2" spans="1:46" ht="22.5" customHeight="1">
      <c r="A2" s="1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29"/>
      <c r="AB2" s="729"/>
      <c r="AC2" s="729"/>
      <c r="AD2" s="729"/>
      <c r="AE2" s="729"/>
      <c r="AF2" s="729"/>
      <c r="AG2" s="729"/>
      <c r="AH2" s="729"/>
      <c r="AI2" s="729"/>
      <c r="AJ2" s="729"/>
      <c r="AK2" s="729"/>
      <c r="AL2" s="729"/>
      <c r="AM2" s="729"/>
      <c r="AN2" s="729"/>
      <c r="AO2" s="729"/>
    </row>
    <row r="3" spans="1:46" ht="22.5" customHeight="1">
      <c r="A3" s="18"/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R3" s="730"/>
      <c r="S3" s="730"/>
      <c r="T3" s="730"/>
      <c r="U3" s="730"/>
      <c r="V3" s="730"/>
      <c r="W3" s="730"/>
      <c r="X3" s="730"/>
      <c r="Y3" s="730"/>
      <c r="Z3" s="730"/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</row>
    <row r="4" spans="1:46" ht="25" customHeight="1">
      <c r="B4" s="731"/>
      <c r="C4" s="733" t="s">
        <v>6</v>
      </c>
      <c r="D4" s="734"/>
      <c r="E4" s="734"/>
      <c r="F4" s="735"/>
      <c r="G4" s="347">
        <v>1</v>
      </c>
      <c r="H4" s="37">
        <v>2</v>
      </c>
      <c r="I4" s="37">
        <v>3</v>
      </c>
      <c r="J4" s="37">
        <v>4</v>
      </c>
      <c r="K4" s="37">
        <v>5</v>
      </c>
      <c r="L4" s="37">
        <v>6</v>
      </c>
      <c r="M4" s="127">
        <v>7</v>
      </c>
      <c r="N4" s="51">
        <v>8</v>
      </c>
      <c r="O4" s="37">
        <v>9</v>
      </c>
      <c r="P4" s="37">
        <v>10</v>
      </c>
      <c r="Q4" s="37">
        <v>11</v>
      </c>
      <c r="R4" s="37">
        <v>12</v>
      </c>
      <c r="S4" s="37">
        <v>13</v>
      </c>
      <c r="T4" s="127">
        <v>14</v>
      </c>
      <c r="U4" s="51">
        <v>15</v>
      </c>
      <c r="V4" s="127">
        <v>16</v>
      </c>
      <c r="W4" s="51">
        <v>17</v>
      </c>
      <c r="X4" s="127">
        <v>18</v>
      </c>
      <c r="Y4" s="37">
        <v>19</v>
      </c>
      <c r="Z4" s="37">
        <v>20</v>
      </c>
      <c r="AA4" s="127">
        <v>21</v>
      </c>
      <c r="AB4" s="51">
        <v>22</v>
      </c>
      <c r="AC4" s="37">
        <v>23</v>
      </c>
      <c r="AD4" s="37">
        <v>24</v>
      </c>
      <c r="AE4" s="37">
        <v>25</v>
      </c>
      <c r="AF4" s="37">
        <v>26</v>
      </c>
      <c r="AG4" s="37">
        <v>27</v>
      </c>
      <c r="AH4" s="127">
        <v>28</v>
      </c>
      <c r="AI4" s="37">
        <v>29</v>
      </c>
      <c r="AJ4" s="37">
        <v>30</v>
      </c>
      <c r="AK4" s="309">
        <v>31</v>
      </c>
      <c r="AL4" s="736" t="s">
        <v>35</v>
      </c>
      <c r="AM4" s="737"/>
      <c r="AN4" s="737"/>
      <c r="AO4" s="738"/>
      <c r="AP4" s="10"/>
    </row>
    <row r="5" spans="1:46" ht="25" customHeight="1">
      <c r="B5" s="732"/>
      <c r="C5" s="739" t="s">
        <v>7</v>
      </c>
      <c r="D5" s="740"/>
      <c r="E5" s="741" t="s">
        <v>8</v>
      </c>
      <c r="F5" s="742"/>
      <c r="G5" s="232" t="s">
        <v>69</v>
      </c>
      <c r="H5" s="185" t="s">
        <v>88</v>
      </c>
      <c r="I5" s="185" t="s">
        <v>15</v>
      </c>
      <c r="J5" s="185" t="s">
        <v>9</v>
      </c>
      <c r="K5" s="185" t="s">
        <v>10</v>
      </c>
      <c r="L5" s="185" t="s">
        <v>11</v>
      </c>
      <c r="M5" s="186" t="s">
        <v>12</v>
      </c>
      <c r="N5" s="188" t="s">
        <v>13</v>
      </c>
      <c r="O5" s="185" t="s">
        <v>14</v>
      </c>
      <c r="P5" s="185" t="s">
        <v>15</v>
      </c>
      <c r="Q5" s="185" t="s">
        <v>9</v>
      </c>
      <c r="R5" s="185" t="s">
        <v>10</v>
      </c>
      <c r="S5" s="185" t="s">
        <v>11</v>
      </c>
      <c r="T5" s="186" t="s">
        <v>12</v>
      </c>
      <c r="U5" s="188" t="s">
        <v>13</v>
      </c>
      <c r="V5" s="186" t="s">
        <v>14</v>
      </c>
      <c r="W5" s="188" t="s">
        <v>15</v>
      </c>
      <c r="X5" s="186" t="s">
        <v>9</v>
      </c>
      <c r="Y5" s="185" t="s">
        <v>10</v>
      </c>
      <c r="Z5" s="185" t="s">
        <v>11</v>
      </c>
      <c r="AA5" s="186" t="s">
        <v>12</v>
      </c>
      <c r="AB5" s="188" t="s">
        <v>13</v>
      </c>
      <c r="AC5" s="185" t="s">
        <v>14</v>
      </c>
      <c r="AD5" s="185" t="s">
        <v>15</v>
      </c>
      <c r="AE5" s="185" t="s">
        <v>9</v>
      </c>
      <c r="AF5" s="185" t="s">
        <v>10</v>
      </c>
      <c r="AG5" s="185" t="s">
        <v>11</v>
      </c>
      <c r="AH5" s="187" t="s">
        <v>12</v>
      </c>
      <c r="AI5" s="184" t="s">
        <v>13</v>
      </c>
      <c r="AJ5" s="185" t="s">
        <v>14</v>
      </c>
      <c r="AK5" s="184" t="s">
        <v>15</v>
      </c>
      <c r="AL5" s="185" t="s">
        <v>9</v>
      </c>
      <c r="AM5" s="35" t="s">
        <v>2</v>
      </c>
      <c r="AN5" s="253" t="s">
        <v>1</v>
      </c>
      <c r="AO5" s="36" t="s">
        <v>16</v>
      </c>
      <c r="AP5" s="10"/>
    </row>
    <row r="6" spans="1:46" ht="22" customHeight="1">
      <c r="B6" s="353">
        <v>1</v>
      </c>
      <c r="C6" s="718" t="s">
        <v>191</v>
      </c>
      <c r="D6" s="719"/>
      <c r="E6" s="720" t="s">
        <v>34</v>
      </c>
      <c r="F6" s="721"/>
      <c r="G6" s="73" t="s">
        <v>1</v>
      </c>
      <c r="H6" s="219" t="s">
        <v>461</v>
      </c>
      <c r="I6" s="39" t="s">
        <v>477</v>
      </c>
      <c r="J6" s="39" t="s">
        <v>477</v>
      </c>
      <c r="K6" s="48" t="s">
        <v>21</v>
      </c>
      <c r="L6" s="48" t="s">
        <v>21</v>
      </c>
      <c r="M6" s="48" t="s">
        <v>21</v>
      </c>
      <c r="N6" s="39" t="s">
        <v>55</v>
      </c>
      <c r="O6" s="39" t="s">
        <v>477</v>
      </c>
      <c r="P6" s="39" t="s">
        <v>477</v>
      </c>
      <c r="Q6" s="39" t="s">
        <v>484</v>
      </c>
      <c r="R6" s="39" t="s">
        <v>477</v>
      </c>
      <c r="S6" s="39" t="s">
        <v>477</v>
      </c>
      <c r="T6" s="48" t="s">
        <v>21</v>
      </c>
      <c r="U6" s="39" t="s">
        <v>460</v>
      </c>
      <c r="V6" s="48" t="s">
        <v>469</v>
      </c>
      <c r="W6" s="39" t="s">
        <v>1</v>
      </c>
      <c r="X6" s="48" t="s">
        <v>21</v>
      </c>
      <c r="Y6" s="39" t="s">
        <v>477</v>
      </c>
      <c r="Z6" s="39" t="s">
        <v>477</v>
      </c>
      <c r="AA6" s="48" t="s">
        <v>21</v>
      </c>
      <c r="AB6" s="39" t="s">
        <v>1</v>
      </c>
      <c r="AC6" s="79" t="s">
        <v>477</v>
      </c>
      <c r="AD6" s="39" t="s">
        <v>477</v>
      </c>
      <c r="AE6" s="39" t="s">
        <v>482</v>
      </c>
      <c r="AF6" s="48" t="s">
        <v>21</v>
      </c>
      <c r="AG6" s="39" t="s">
        <v>483</v>
      </c>
      <c r="AH6" s="48" t="s">
        <v>21</v>
      </c>
      <c r="AI6" s="39"/>
      <c r="AJ6" s="39"/>
      <c r="AK6" s="339"/>
      <c r="AL6" s="55">
        <f t="shared" ref="AL6:AL26" si="0">COUNTIF(G6:AK6,"▲")</f>
        <v>0</v>
      </c>
      <c r="AM6" s="21">
        <f t="shared" ref="AM6:AM26" si="1">COUNTIF(G6:AK6,"D")</f>
        <v>14</v>
      </c>
      <c r="AN6" s="22">
        <f t="shared" ref="AN6:AN26" si="2">COUNTIF(G6:AK6,"●")</f>
        <v>14</v>
      </c>
      <c r="AO6" s="27">
        <f t="shared" ref="AO6:AO26" si="3">AN6+AL6</f>
        <v>14</v>
      </c>
      <c r="AP6" s="10"/>
    </row>
    <row r="7" spans="1:46" ht="21.75" customHeight="1">
      <c r="B7" s="54">
        <v>2</v>
      </c>
      <c r="C7" s="710" t="s">
        <v>22</v>
      </c>
      <c r="D7" s="722"/>
      <c r="E7" s="723" t="s">
        <v>23</v>
      </c>
      <c r="F7" s="724"/>
      <c r="G7" s="100" t="s">
        <v>21</v>
      </c>
      <c r="H7" s="389" t="s">
        <v>461</v>
      </c>
      <c r="I7" s="93" t="s">
        <v>477</v>
      </c>
      <c r="J7" s="168" t="s">
        <v>477</v>
      </c>
      <c r="K7" s="93" t="s">
        <v>51</v>
      </c>
      <c r="L7" s="93" t="s">
        <v>477</v>
      </c>
      <c r="M7" s="141" t="s">
        <v>488</v>
      </c>
      <c r="N7" s="93" t="s">
        <v>21</v>
      </c>
      <c r="O7" s="43" t="s">
        <v>51</v>
      </c>
      <c r="P7" s="43" t="s">
        <v>477</v>
      </c>
      <c r="Q7" s="93" t="s">
        <v>2</v>
      </c>
      <c r="R7" s="93" t="s">
        <v>477</v>
      </c>
      <c r="S7" s="43" t="s">
        <v>483</v>
      </c>
      <c r="T7" s="141" t="s">
        <v>491</v>
      </c>
      <c r="U7" s="93" t="s">
        <v>21</v>
      </c>
      <c r="V7" s="50" t="s">
        <v>476</v>
      </c>
      <c r="W7" s="93" t="s">
        <v>21</v>
      </c>
      <c r="X7" s="93" t="s">
        <v>86</v>
      </c>
      <c r="Y7" s="93" t="s">
        <v>477</v>
      </c>
      <c r="Z7" s="93" t="s">
        <v>477</v>
      </c>
      <c r="AA7" s="141" t="s">
        <v>21</v>
      </c>
      <c r="AB7" s="93" t="s">
        <v>21</v>
      </c>
      <c r="AC7" s="168" t="s">
        <v>477</v>
      </c>
      <c r="AD7" s="43" t="s">
        <v>477</v>
      </c>
      <c r="AE7" s="93" t="s">
        <v>477</v>
      </c>
      <c r="AF7" s="43" t="s">
        <v>477</v>
      </c>
      <c r="AG7" s="141" t="s">
        <v>526</v>
      </c>
      <c r="AH7" s="141" t="s">
        <v>21</v>
      </c>
      <c r="AI7" s="43"/>
      <c r="AJ7" s="93"/>
      <c r="AK7" s="340"/>
      <c r="AL7" s="221">
        <f t="shared" si="0"/>
        <v>0</v>
      </c>
      <c r="AM7" s="260">
        <f t="shared" si="1"/>
        <v>17</v>
      </c>
      <c r="AN7" s="32">
        <v>11</v>
      </c>
      <c r="AO7" s="167">
        <f t="shared" si="3"/>
        <v>11</v>
      </c>
      <c r="AP7" s="10"/>
      <c r="AQ7" t="s">
        <v>437</v>
      </c>
      <c r="AT7"/>
    </row>
    <row r="8" spans="1:46" ht="22" customHeight="1">
      <c r="B8" s="353">
        <v>3</v>
      </c>
      <c r="C8" s="725" t="s">
        <v>36</v>
      </c>
      <c r="D8" s="726"/>
      <c r="E8" s="727" t="s">
        <v>37</v>
      </c>
      <c r="F8" s="728"/>
      <c r="G8" s="61" t="s">
        <v>21</v>
      </c>
      <c r="H8" s="233" t="s">
        <v>21</v>
      </c>
      <c r="I8" s="75" t="s">
        <v>483</v>
      </c>
      <c r="J8" s="71" t="s">
        <v>477</v>
      </c>
      <c r="K8" s="71" t="s">
        <v>487</v>
      </c>
      <c r="L8" s="71" t="s">
        <v>487</v>
      </c>
      <c r="M8" s="71" t="s">
        <v>463</v>
      </c>
      <c r="N8" s="71" t="s">
        <v>21</v>
      </c>
      <c r="O8" s="170" t="s">
        <v>490</v>
      </c>
      <c r="P8" s="75" t="s">
        <v>477</v>
      </c>
      <c r="Q8" s="71" t="s">
        <v>477</v>
      </c>
      <c r="R8" s="233" t="s">
        <v>1</v>
      </c>
      <c r="S8" s="75" t="s">
        <v>483</v>
      </c>
      <c r="T8" s="75" t="s">
        <v>461</v>
      </c>
      <c r="U8" s="71" t="s">
        <v>21</v>
      </c>
      <c r="V8" s="75" t="s">
        <v>471</v>
      </c>
      <c r="W8" s="71" t="s">
        <v>21</v>
      </c>
      <c r="X8" s="170" t="s">
        <v>1</v>
      </c>
      <c r="Y8" s="75" t="s">
        <v>498</v>
      </c>
      <c r="Z8" s="40" t="s">
        <v>64</v>
      </c>
      <c r="AA8" s="71" t="s">
        <v>463</v>
      </c>
      <c r="AB8" s="71" t="s">
        <v>21</v>
      </c>
      <c r="AC8" s="179" t="s">
        <v>477</v>
      </c>
      <c r="AD8" s="114" t="s">
        <v>21</v>
      </c>
      <c r="AE8" s="170" t="s">
        <v>144</v>
      </c>
      <c r="AF8" s="75" t="s">
        <v>103</v>
      </c>
      <c r="AG8" s="75" t="s">
        <v>483</v>
      </c>
      <c r="AH8" s="71" t="s">
        <v>461</v>
      </c>
      <c r="AI8" s="233"/>
      <c r="AJ8" s="257"/>
      <c r="AK8" s="259"/>
      <c r="AL8" s="124">
        <f t="shared" si="0"/>
        <v>0</v>
      </c>
      <c r="AM8" s="33">
        <f t="shared" si="1"/>
        <v>17</v>
      </c>
      <c r="AN8" s="34">
        <f t="shared" si="2"/>
        <v>11</v>
      </c>
      <c r="AO8" s="27">
        <f t="shared" si="3"/>
        <v>11</v>
      </c>
      <c r="AP8" s="10"/>
      <c r="AR8"/>
    </row>
    <row r="9" spans="1:46" ht="22" hidden="1" customHeight="1">
      <c r="A9" s="701"/>
      <c r="B9" s="20">
        <v>4</v>
      </c>
      <c r="C9" s="781"/>
      <c r="D9" s="782"/>
      <c r="E9" s="704"/>
      <c r="F9" s="705"/>
      <c r="G9" s="58" t="s">
        <v>21</v>
      </c>
      <c r="H9" s="388"/>
      <c r="I9" s="57"/>
      <c r="J9" s="59"/>
      <c r="K9" s="59"/>
      <c r="L9" s="59"/>
      <c r="M9" s="59"/>
      <c r="N9" s="59" t="s">
        <v>21</v>
      </c>
      <c r="O9" s="59"/>
      <c r="P9" s="91"/>
      <c r="Q9" s="59"/>
      <c r="R9" s="59"/>
      <c r="S9" s="40"/>
      <c r="T9" s="59"/>
      <c r="U9" s="59" t="s">
        <v>21</v>
      </c>
      <c r="V9" s="40"/>
      <c r="W9" s="59" t="s">
        <v>21</v>
      </c>
      <c r="X9" s="59"/>
      <c r="Y9" s="59"/>
      <c r="Z9" s="40"/>
      <c r="AA9" s="59"/>
      <c r="AB9" s="59" t="s">
        <v>21</v>
      </c>
      <c r="AC9" s="89"/>
      <c r="AD9" s="59"/>
      <c r="AE9" s="59"/>
      <c r="AF9" s="59"/>
      <c r="AG9" s="57"/>
      <c r="AH9" s="59"/>
      <c r="AI9" s="40"/>
      <c r="AJ9" s="59"/>
      <c r="AK9" s="65"/>
      <c r="AL9" s="30">
        <f t="shared" si="0"/>
        <v>0</v>
      </c>
      <c r="AM9" s="25">
        <f t="shared" si="1"/>
        <v>0</v>
      </c>
      <c r="AN9" s="26">
        <f t="shared" si="2"/>
        <v>5</v>
      </c>
      <c r="AO9" s="29"/>
      <c r="AP9" s="10"/>
      <c r="AR9" t="s">
        <v>168</v>
      </c>
      <c r="AS9" t="s">
        <v>169</v>
      </c>
      <c r="AT9" t="s">
        <v>170</v>
      </c>
    </row>
    <row r="10" spans="1:46" ht="22" customHeight="1">
      <c r="A10" s="701"/>
      <c r="B10" s="20">
        <v>4</v>
      </c>
      <c r="C10" s="702" t="s">
        <v>46</v>
      </c>
      <c r="D10" s="703"/>
      <c r="E10" s="704" t="s">
        <v>24</v>
      </c>
      <c r="F10" s="705"/>
      <c r="G10" s="70" t="s">
        <v>1</v>
      </c>
      <c r="H10" s="45" t="s">
        <v>461</v>
      </c>
      <c r="I10" s="59" t="s">
        <v>464</v>
      </c>
      <c r="J10" s="40" t="s">
        <v>461</v>
      </c>
      <c r="K10" s="40" t="s">
        <v>462</v>
      </c>
      <c r="L10" s="59" t="s">
        <v>463</v>
      </c>
      <c r="M10" s="137" t="s">
        <v>21</v>
      </c>
      <c r="N10" s="40" t="s">
        <v>1</v>
      </c>
      <c r="O10" s="57" t="s">
        <v>21</v>
      </c>
      <c r="P10" s="91" t="s">
        <v>492</v>
      </c>
      <c r="Q10" s="40" t="s">
        <v>477</v>
      </c>
      <c r="R10" s="40" t="s">
        <v>2</v>
      </c>
      <c r="S10" s="40" t="s">
        <v>483</v>
      </c>
      <c r="T10" s="40" t="s">
        <v>51</v>
      </c>
      <c r="U10" s="40" t="s">
        <v>1</v>
      </c>
      <c r="V10" s="57" t="s">
        <v>21</v>
      </c>
      <c r="W10" s="40" t="s">
        <v>1</v>
      </c>
      <c r="X10" s="40" t="s">
        <v>489</v>
      </c>
      <c r="Y10" s="40" t="s">
        <v>477</v>
      </c>
      <c r="Z10" s="40" t="s">
        <v>483</v>
      </c>
      <c r="AA10" s="57" t="s">
        <v>21</v>
      </c>
      <c r="AB10" s="40" t="s">
        <v>1</v>
      </c>
      <c r="AC10" s="111" t="s">
        <v>87</v>
      </c>
      <c r="AD10" s="59" t="s">
        <v>51</v>
      </c>
      <c r="AE10" s="40" t="s">
        <v>477</v>
      </c>
      <c r="AF10" s="137" t="s">
        <v>21</v>
      </c>
      <c r="AG10" s="68" t="s">
        <v>477</v>
      </c>
      <c r="AH10" s="57" t="s">
        <v>21</v>
      </c>
      <c r="AI10" s="40"/>
      <c r="AJ10" s="40"/>
      <c r="AK10" s="99"/>
      <c r="AL10" s="30">
        <f t="shared" si="0"/>
        <v>2</v>
      </c>
      <c r="AM10" s="25">
        <f t="shared" si="1"/>
        <v>15</v>
      </c>
      <c r="AN10" s="26">
        <f t="shared" si="2"/>
        <v>11</v>
      </c>
      <c r="AO10" s="29">
        <f t="shared" si="3"/>
        <v>13</v>
      </c>
      <c r="AP10" s="10">
        <v>3</v>
      </c>
      <c r="AR10"/>
      <c r="AS10"/>
      <c r="AT10"/>
    </row>
    <row r="11" spans="1:46" ht="22" customHeight="1">
      <c r="A11" s="701"/>
      <c r="B11" s="20">
        <v>5</v>
      </c>
      <c r="C11" s="706" t="s">
        <v>167</v>
      </c>
      <c r="D11" s="707"/>
      <c r="E11" s="698" t="s">
        <v>24</v>
      </c>
      <c r="F11" s="699"/>
      <c r="G11" s="58" t="s">
        <v>21</v>
      </c>
      <c r="H11" s="388" t="s">
        <v>461</v>
      </c>
      <c r="I11" s="40" t="s">
        <v>477</v>
      </c>
      <c r="J11" s="59" t="s">
        <v>483</v>
      </c>
      <c r="K11" s="40" t="s">
        <v>462</v>
      </c>
      <c r="L11" s="59" t="s">
        <v>477</v>
      </c>
      <c r="M11" s="153" t="s">
        <v>21</v>
      </c>
      <c r="N11" s="59" t="s">
        <v>21</v>
      </c>
      <c r="O11" s="59" t="s">
        <v>483</v>
      </c>
      <c r="P11" s="59" t="s">
        <v>51</v>
      </c>
      <c r="Q11" s="57" t="s">
        <v>21</v>
      </c>
      <c r="R11" s="40" t="s">
        <v>477</v>
      </c>
      <c r="S11" s="40" t="s">
        <v>477</v>
      </c>
      <c r="T11" s="114" t="s">
        <v>490</v>
      </c>
      <c r="U11" s="59" t="s">
        <v>21</v>
      </c>
      <c r="V11" s="40" t="s">
        <v>487</v>
      </c>
      <c r="W11" s="59" t="s">
        <v>21</v>
      </c>
      <c r="X11" s="137" t="s">
        <v>21</v>
      </c>
      <c r="Y11" s="40" t="s">
        <v>477</v>
      </c>
      <c r="Z11" s="40" t="s">
        <v>483</v>
      </c>
      <c r="AA11" s="59" t="s">
        <v>463</v>
      </c>
      <c r="AB11" s="59" t="s">
        <v>21</v>
      </c>
      <c r="AC11" s="135" t="s">
        <v>21</v>
      </c>
      <c r="AD11" s="40" t="s">
        <v>483</v>
      </c>
      <c r="AE11" s="59" t="s">
        <v>477</v>
      </c>
      <c r="AF11" s="40" t="s">
        <v>477</v>
      </c>
      <c r="AG11" s="40" t="s">
        <v>483</v>
      </c>
      <c r="AH11" s="57" t="s">
        <v>21</v>
      </c>
      <c r="AI11" s="40"/>
      <c r="AJ11" s="57"/>
      <c r="AK11" s="57"/>
      <c r="AL11" s="30">
        <f t="shared" si="0"/>
        <v>0</v>
      </c>
      <c r="AM11" s="25">
        <f t="shared" si="1"/>
        <v>17</v>
      </c>
      <c r="AN11" s="26">
        <f t="shared" si="2"/>
        <v>11</v>
      </c>
      <c r="AO11" s="29">
        <f t="shared" si="3"/>
        <v>11</v>
      </c>
      <c r="AP11" s="238">
        <v>4</v>
      </c>
      <c r="AR11"/>
    </row>
    <row r="12" spans="1:46" ht="22" customHeight="1">
      <c r="A12" s="701"/>
      <c r="B12" s="20">
        <v>6</v>
      </c>
      <c r="C12" s="708" t="s">
        <v>372</v>
      </c>
      <c r="D12" s="709"/>
      <c r="E12" s="673" t="s">
        <v>32</v>
      </c>
      <c r="F12" s="674"/>
      <c r="G12" s="58" t="s">
        <v>21</v>
      </c>
      <c r="H12" s="388" t="s">
        <v>461</v>
      </c>
      <c r="I12" s="114" t="s">
        <v>21</v>
      </c>
      <c r="J12" s="59" t="s">
        <v>477</v>
      </c>
      <c r="K12" s="59" t="s">
        <v>461</v>
      </c>
      <c r="L12" s="59" t="s">
        <v>477</v>
      </c>
      <c r="M12" s="59" t="s">
        <v>461</v>
      </c>
      <c r="N12" s="59" t="s">
        <v>21</v>
      </c>
      <c r="O12" s="59" t="s">
        <v>477</v>
      </c>
      <c r="P12" s="59" t="s">
        <v>100</v>
      </c>
      <c r="Q12" s="59" t="s">
        <v>477</v>
      </c>
      <c r="R12" s="40" t="s">
        <v>483</v>
      </c>
      <c r="S12" s="59" t="s">
        <v>477</v>
      </c>
      <c r="T12" s="114" t="s">
        <v>21</v>
      </c>
      <c r="U12" s="59" t="s">
        <v>21</v>
      </c>
      <c r="V12" s="137" t="s">
        <v>21</v>
      </c>
      <c r="W12" s="59" t="s">
        <v>21</v>
      </c>
      <c r="X12" s="114" t="s">
        <v>21</v>
      </c>
      <c r="Y12" s="59" t="s">
        <v>477</v>
      </c>
      <c r="Z12" s="59" t="s">
        <v>477</v>
      </c>
      <c r="AA12" s="114" t="s">
        <v>21</v>
      </c>
      <c r="AB12" s="59" t="s">
        <v>21</v>
      </c>
      <c r="AC12" s="40" t="s">
        <v>483</v>
      </c>
      <c r="AD12" s="40" t="s">
        <v>477</v>
      </c>
      <c r="AE12" s="137" t="s">
        <v>21</v>
      </c>
      <c r="AF12" s="59" t="s">
        <v>477</v>
      </c>
      <c r="AG12" s="40" t="s">
        <v>477</v>
      </c>
      <c r="AH12" s="59" t="s">
        <v>461</v>
      </c>
      <c r="AI12" s="59"/>
      <c r="AJ12" s="40"/>
      <c r="AK12" s="147"/>
      <c r="AL12" s="30">
        <f t="shared" si="0"/>
        <v>0</v>
      </c>
      <c r="AM12" s="25">
        <f t="shared" si="1"/>
        <v>17</v>
      </c>
      <c r="AN12" s="26">
        <f t="shared" si="2"/>
        <v>11</v>
      </c>
      <c r="AO12" s="29">
        <f t="shared" si="3"/>
        <v>11</v>
      </c>
      <c r="AP12" s="409">
        <v>3</v>
      </c>
      <c r="AS12"/>
      <c r="AT12"/>
    </row>
    <row r="13" spans="1:46" ht="22" customHeight="1" thickBot="1">
      <c r="A13" s="701"/>
      <c r="B13" s="54">
        <v>7</v>
      </c>
      <c r="C13" s="710" t="s">
        <v>29</v>
      </c>
      <c r="D13" s="711"/>
      <c r="E13" s="712" t="s">
        <v>28</v>
      </c>
      <c r="F13" s="713"/>
      <c r="G13" s="70" t="s">
        <v>1</v>
      </c>
      <c r="H13" s="505" t="s">
        <v>461</v>
      </c>
      <c r="I13" s="44" t="s">
        <v>483</v>
      </c>
      <c r="J13" s="44" t="s">
        <v>477</v>
      </c>
      <c r="K13" s="44" t="s">
        <v>477</v>
      </c>
      <c r="L13" s="44" t="s">
        <v>477</v>
      </c>
      <c r="M13" s="57" t="s">
        <v>1</v>
      </c>
      <c r="N13" s="40" t="s">
        <v>55</v>
      </c>
      <c r="O13" s="40" t="s">
        <v>477</v>
      </c>
      <c r="P13" s="40" t="s">
        <v>483</v>
      </c>
      <c r="Q13" s="40" t="s">
        <v>477</v>
      </c>
      <c r="R13" s="40" t="s">
        <v>483</v>
      </c>
      <c r="S13" s="40" t="s">
        <v>477</v>
      </c>
      <c r="T13" s="57" t="s">
        <v>466</v>
      </c>
      <c r="U13" s="40" t="s">
        <v>99</v>
      </c>
      <c r="V13" s="57" t="s">
        <v>21</v>
      </c>
      <c r="W13" s="40" t="s">
        <v>1</v>
      </c>
      <c r="X13" s="57" t="s">
        <v>21</v>
      </c>
      <c r="Y13" s="40" t="s">
        <v>477</v>
      </c>
      <c r="Z13" s="40" t="s">
        <v>477</v>
      </c>
      <c r="AA13" s="57" t="s">
        <v>465</v>
      </c>
      <c r="AB13" s="40" t="s">
        <v>1</v>
      </c>
      <c r="AC13" s="87" t="s">
        <v>477</v>
      </c>
      <c r="AD13" s="40" t="s">
        <v>477</v>
      </c>
      <c r="AE13" s="40" t="s">
        <v>477</v>
      </c>
      <c r="AF13" s="40" t="s">
        <v>477</v>
      </c>
      <c r="AG13" s="40" t="s">
        <v>483</v>
      </c>
      <c r="AH13" s="57" t="s">
        <v>21</v>
      </c>
      <c r="AI13" s="44"/>
      <c r="AJ13" s="44"/>
      <c r="AK13" s="502"/>
      <c r="AL13" s="221">
        <f t="shared" si="0"/>
        <v>0</v>
      </c>
      <c r="AM13" s="260">
        <f t="shared" si="1"/>
        <v>17</v>
      </c>
      <c r="AN13" s="32">
        <f t="shared" si="2"/>
        <v>11</v>
      </c>
      <c r="AO13" s="167">
        <f t="shared" si="3"/>
        <v>11</v>
      </c>
      <c r="AP13" s="10">
        <v>1</v>
      </c>
    </row>
    <row r="14" spans="1:46" ht="22" customHeight="1">
      <c r="A14" s="701"/>
      <c r="B14" s="353">
        <v>8</v>
      </c>
      <c r="C14" s="714" t="s">
        <v>25</v>
      </c>
      <c r="D14" s="715"/>
      <c r="E14" s="785" t="s">
        <v>30</v>
      </c>
      <c r="F14" s="771"/>
      <c r="G14" s="379" t="s">
        <v>21</v>
      </c>
      <c r="H14" s="506" t="s">
        <v>461</v>
      </c>
      <c r="I14" s="81" t="s">
        <v>483</v>
      </c>
      <c r="J14" s="81" t="s">
        <v>483</v>
      </c>
      <c r="K14" s="81" t="s">
        <v>477</v>
      </c>
      <c r="L14" s="279" t="s">
        <v>21</v>
      </c>
      <c r="M14" s="271" t="s">
        <v>2</v>
      </c>
      <c r="N14" s="349" t="s">
        <v>21</v>
      </c>
      <c r="O14" s="139" t="s">
        <v>465</v>
      </c>
      <c r="P14" s="39" t="s">
        <v>483</v>
      </c>
      <c r="Q14" s="39" t="s">
        <v>477</v>
      </c>
      <c r="R14" s="75" t="s">
        <v>483</v>
      </c>
      <c r="S14" s="39" t="s">
        <v>483</v>
      </c>
      <c r="T14" s="39" t="s">
        <v>463</v>
      </c>
      <c r="U14" s="79" t="s">
        <v>21</v>
      </c>
      <c r="V14" s="403" t="s">
        <v>467</v>
      </c>
      <c r="W14" s="79" t="s">
        <v>472</v>
      </c>
      <c r="X14" s="48" t="s">
        <v>478</v>
      </c>
      <c r="Y14" s="39" t="s">
        <v>483</v>
      </c>
      <c r="Z14" s="39" t="s">
        <v>477</v>
      </c>
      <c r="AA14" s="48" t="s">
        <v>21</v>
      </c>
      <c r="AB14" s="79" t="s">
        <v>21</v>
      </c>
      <c r="AC14" s="343" t="s">
        <v>83</v>
      </c>
      <c r="AD14" s="354" t="s">
        <v>483</v>
      </c>
      <c r="AE14" s="81" t="s">
        <v>483</v>
      </c>
      <c r="AF14" s="330" t="s">
        <v>483</v>
      </c>
      <c r="AG14" s="81" t="s">
        <v>483</v>
      </c>
      <c r="AH14" s="325" t="s">
        <v>21</v>
      </c>
      <c r="AI14" s="504"/>
      <c r="AJ14" s="39"/>
      <c r="AK14" s="393"/>
      <c r="AL14" s="267">
        <f t="shared" si="0"/>
        <v>0</v>
      </c>
      <c r="AM14" s="21">
        <f t="shared" si="1"/>
        <v>16</v>
      </c>
      <c r="AN14" s="22">
        <f t="shared" si="2"/>
        <v>11</v>
      </c>
      <c r="AO14" s="27">
        <f t="shared" si="3"/>
        <v>11</v>
      </c>
      <c r="AP14" s="10">
        <v>3</v>
      </c>
      <c r="AQ14" s="470"/>
      <c r="AR14" s="700"/>
      <c r="AS14" s="700"/>
      <c r="AT14"/>
    </row>
    <row r="15" spans="1:46" ht="21.75" customHeight="1">
      <c r="A15" s="19" t="s">
        <v>80</v>
      </c>
      <c r="B15" s="301">
        <v>9</v>
      </c>
      <c r="C15" s="684" t="s">
        <v>49</v>
      </c>
      <c r="D15" s="685"/>
      <c r="E15" s="698" t="s">
        <v>31</v>
      </c>
      <c r="F15" s="699"/>
      <c r="G15" s="101" t="s">
        <v>21</v>
      </c>
      <c r="H15" s="507" t="s">
        <v>461</v>
      </c>
      <c r="I15" s="40" t="s">
        <v>483</v>
      </c>
      <c r="J15" s="59" t="s">
        <v>477</v>
      </c>
      <c r="K15" s="59" t="s">
        <v>483</v>
      </c>
      <c r="L15" s="59" t="s">
        <v>483</v>
      </c>
      <c r="M15" s="318" t="s">
        <v>479</v>
      </c>
      <c r="N15" s="74" t="s">
        <v>21</v>
      </c>
      <c r="O15" s="59" t="s">
        <v>477</v>
      </c>
      <c r="P15" s="40" t="s">
        <v>477</v>
      </c>
      <c r="Q15" s="59" t="s">
        <v>477</v>
      </c>
      <c r="R15" s="59" t="s">
        <v>51</v>
      </c>
      <c r="S15" s="57" t="s">
        <v>21</v>
      </c>
      <c r="T15" s="59" t="s">
        <v>474</v>
      </c>
      <c r="U15" s="89" t="s">
        <v>21</v>
      </c>
      <c r="V15" s="153" t="s">
        <v>467</v>
      </c>
      <c r="W15" s="89" t="s">
        <v>21</v>
      </c>
      <c r="X15" s="59" t="s">
        <v>471</v>
      </c>
      <c r="Y15" s="40" t="s">
        <v>483</v>
      </c>
      <c r="Z15" s="40" t="s">
        <v>483</v>
      </c>
      <c r="AA15" s="114" t="s">
        <v>21</v>
      </c>
      <c r="AB15" s="89" t="s">
        <v>21</v>
      </c>
      <c r="AC15" s="326" t="s">
        <v>477</v>
      </c>
      <c r="AD15" s="40" t="s">
        <v>477</v>
      </c>
      <c r="AE15" s="59" t="s">
        <v>477</v>
      </c>
      <c r="AF15" s="153" t="s">
        <v>467</v>
      </c>
      <c r="AG15" s="40" t="s">
        <v>483</v>
      </c>
      <c r="AH15" s="318" t="s">
        <v>21</v>
      </c>
      <c r="AI15" s="64"/>
      <c r="AJ15" s="59"/>
      <c r="AK15" s="226"/>
      <c r="AL15" s="268">
        <f t="shared" si="0"/>
        <v>0</v>
      </c>
      <c r="AM15" s="25">
        <f t="shared" si="1"/>
        <v>17</v>
      </c>
      <c r="AN15" s="26">
        <f t="shared" si="2"/>
        <v>11</v>
      </c>
      <c r="AO15" s="29">
        <f t="shared" si="3"/>
        <v>11</v>
      </c>
      <c r="AP15" s="10">
        <v>1</v>
      </c>
      <c r="AQ15" t="s">
        <v>145</v>
      </c>
      <c r="AR15" s="96"/>
      <c r="AS15" s="96"/>
    </row>
    <row r="16" spans="1:46" ht="21.75" customHeight="1">
      <c r="A16" s="19"/>
      <c r="B16" s="301">
        <v>10</v>
      </c>
      <c r="C16" s="684" t="s">
        <v>114</v>
      </c>
      <c r="D16" s="685"/>
      <c r="E16" s="698" t="s">
        <v>31</v>
      </c>
      <c r="F16" s="699"/>
      <c r="G16" s="103" t="s">
        <v>21</v>
      </c>
      <c r="H16" s="508" t="s">
        <v>461</v>
      </c>
      <c r="I16" s="40" t="s">
        <v>100</v>
      </c>
      <c r="J16" s="40" t="s">
        <v>477</v>
      </c>
      <c r="K16" s="114" t="s">
        <v>21</v>
      </c>
      <c r="L16" s="59" t="s">
        <v>112</v>
      </c>
      <c r="M16" s="318" t="s">
        <v>21</v>
      </c>
      <c r="N16" s="110" t="s">
        <v>21</v>
      </c>
      <c r="O16" s="40" t="s">
        <v>477</v>
      </c>
      <c r="P16" s="40" t="s">
        <v>477</v>
      </c>
      <c r="Q16" s="91" t="s">
        <v>40</v>
      </c>
      <c r="R16" s="121" t="s">
        <v>477</v>
      </c>
      <c r="S16" s="40" t="s">
        <v>112</v>
      </c>
      <c r="T16" s="57" t="s">
        <v>21</v>
      </c>
      <c r="U16" s="68" t="s">
        <v>21</v>
      </c>
      <c r="V16" s="40" t="s">
        <v>461</v>
      </c>
      <c r="W16" s="68" t="s">
        <v>21</v>
      </c>
      <c r="X16" s="153" t="s">
        <v>467</v>
      </c>
      <c r="Y16" s="153" t="s">
        <v>467</v>
      </c>
      <c r="Z16" s="40" t="s">
        <v>474</v>
      </c>
      <c r="AA16" s="40" t="s">
        <v>487</v>
      </c>
      <c r="AB16" s="68" t="s">
        <v>21</v>
      </c>
      <c r="AC16" s="280" t="s">
        <v>483</v>
      </c>
      <c r="AD16" s="40" t="s">
        <v>100</v>
      </c>
      <c r="AE16" s="57" t="s">
        <v>21</v>
      </c>
      <c r="AF16" s="40" t="s">
        <v>483</v>
      </c>
      <c r="AG16" s="40" t="s">
        <v>483</v>
      </c>
      <c r="AH16" s="284" t="s">
        <v>474</v>
      </c>
      <c r="AI16" s="64"/>
      <c r="AJ16" s="40"/>
      <c r="AK16" s="65"/>
      <c r="AL16" s="268">
        <f t="shared" si="0"/>
        <v>1</v>
      </c>
      <c r="AM16" s="25">
        <f t="shared" si="1"/>
        <v>16</v>
      </c>
      <c r="AN16" s="26">
        <f t="shared" si="2"/>
        <v>11</v>
      </c>
      <c r="AO16" s="29">
        <f t="shared" si="3"/>
        <v>12</v>
      </c>
      <c r="AP16" s="10">
        <v>5</v>
      </c>
      <c r="AQ16" s="1">
        <v>212</v>
      </c>
      <c r="AR16" s="96"/>
      <c r="AS16" s="96"/>
    </row>
    <row r="17" spans="1:83" ht="21.75" customHeight="1" thickBot="1">
      <c r="A17" s="19"/>
      <c r="B17" s="301">
        <v>11</v>
      </c>
      <c r="C17" s="696" t="s">
        <v>192</v>
      </c>
      <c r="D17" s="697"/>
      <c r="E17" s="698" t="s">
        <v>31</v>
      </c>
      <c r="F17" s="699"/>
      <c r="G17" s="101" t="s">
        <v>21</v>
      </c>
      <c r="H17" s="509" t="s">
        <v>463</v>
      </c>
      <c r="I17" s="321" t="s">
        <v>477</v>
      </c>
      <c r="J17" s="372" t="s">
        <v>467</v>
      </c>
      <c r="K17" s="321" t="s">
        <v>483</v>
      </c>
      <c r="L17" s="321" t="s">
        <v>477</v>
      </c>
      <c r="M17" s="315" t="s">
        <v>21</v>
      </c>
      <c r="N17" s="74" t="s">
        <v>21</v>
      </c>
      <c r="O17" s="257" t="s">
        <v>477</v>
      </c>
      <c r="P17" s="91" t="s">
        <v>40</v>
      </c>
      <c r="Q17" s="89" t="s">
        <v>477</v>
      </c>
      <c r="R17" s="134" t="s">
        <v>20</v>
      </c>
      <c r="S17" s="47" t="s">
        <v>483</v>
      </c>
      <c r="T17" s="114" t="s">
        <v>21</v>
      </c>
      <c r="U17" s="74" t="s">
        <v>21</v>
      </c>
      <c r="V17" s="121" t="s">
        <v>471</v>
      </c>
      <c r="W17" s="122" t="s">
        <v>21</v>
      </c>
      <c r="X17" s="372" t="s">
        <v>467</v>
      </c>
      <c r="Y17" s="275" t="s">
        <v>477</v>
      </c>
      <c r="Z17" s="121" t="s">
        <v>483</v>
      </c>
      <c r="AA17" s="171" t="s">
        <v>480</v>
      </c>
      <c r="AB17" s="74" t="s">
        <v>21</v>
      </c>
      <c r="AC17" s="274" t="s">
        <v>477</v>
      </c>
      <c r="AD17" s="275" t="s">
        <v>477</v>
      </c>
      <c r="AE17" s="275" t="s">
        <v>100</v>
      </c>
      <c r="AF17" s="321" t="s">
        <v>483</v>
      </c>
      <c r="AG17" s="281" t="s">
        <v>21</v>
      </c>
      <c r="AH17" s="282" t="s">
        <v>475</v>
      </c>
      <c r="AI17" s="47"/>
      <c r="AJ17" s="114"/>
      <c r="AK17" s="147"/>
      <c r="AL17" s="268">
        <f t="shared" si="0"/>
        <v>1</v>
      </c>
      <c r="AM17" s="25">
        <f t="shared" si="1"/>
        <v>15</v>
      </c>
      <c r="AN17" s="26">
        <f t="shared" si="2"/>
        <v>11</v>
      </c>
      <c r="AO17" s="29">
        <f t="shared" si="3"/>
        <v>12</v>
      </c>
      <c r="AP17" s="10">
        <v>5</v>
      </c>
      <c r="AQ17" s="689"/>
      <c r="AR17" s="689"/>
      <c r="AS17" s="653"/>
      <c r="AT17" s="653"/>
      <c r="AU17" s="156"/>
      <c r="AV17" s="157"/>
      <c r="AW17" s="157"/>
      <c r="AX17" s="218"/>
      <c r="AY17" s="157"/>
      <c r="AZ17" s="218"/>
      <c r="BA17" s="157"/>
      <c r="BB17" s="203"/>
      <c r="BC17" s="157"/>
      <c r="BD17" s="157"/>
      <c r="BE17" s="157"/>
      <c r="BF17" s="157"/>
      <c r="BG17" s="157"/>
      <c r="BH17" s="157"/>
      <c r="BI17" s="156"/>
      <c r="BJ17" s="157"/>
      <c r="BK17" s="157"/>
      <c r="BL17" s="158"/>
      <c r="BM17" s="158"/>
      <c r="BN17" s="157"/>
      <c r="BO17" s="157"/>
      <c r="BP17" s="302"/>
      <c r="BQ17" s="157"/>
      <c r="BR17" s="157"/>
      <c r="BS17" s="158"/>
      <c r="BT17" s="157"/>
      <c r="BU17" s="299"/>
      <c r="BV17" s="157"/>
      <c r="BW17" s="157"/>
      <c r="BX17" s="157"/>
      <c r="BY17" s="156"/>
      <c r="BZ17" s="159"/>
      <c r="CA17" s="161"/>
      <c r="CB17" s="160"/>
      <c r="CC17" s="160"/>
    </row>
    <row r="18" spans="1:83" ht="21.75" customHeight="1">
      <c r="A18" s="19"/>
      <c r="B18" s="301">
        <v>12</v>
      </c>
      <c r="C18" s="682" t="s">
        <v>39</v>
      </c>
      <c r="D18" s="683"/>
      <c r="E18" s="698" t="s">
        <v>31</v>
      </c>
      <c r="F18" s="699"/>
      <c r="G18" s="58" t="s">
        <v>21</v>
      </c>
      <c r="H18" s="510" t="s">
        <v>463</v>
      </c>
      <c r="I18" s="71" t="s">
        <v>477</v>
      </c>
      <c r="J18" s="71" t="s">
        <v>477</v>
      </c>
      <c r="K18" s="71" t="s">
        <v>477</v>
      </c>
      <c r="L18" s="71" t="s">
        <v>483</v>
      </c>
      <c r="M18" s="170" t="s">
        <v>21</v>
      </c>
      <c r="N18" s="74" t="s">
        <v>21</v>
      </c>
      <c r="O18" s="59" t="s">
        <v>477</v>
      </c>
      <c r="P18" s="59" t="s">
        <v>483</v>
      </c>
      <c r="Q18" s="59" t="s">
        <v>112</v>
      </c>
      <c r="R18" s="170" t="s">
        <v>21</v>
      </c>
      <c r="S18" s="40" t="s">
        <v>483</v>
      </c>
      <c r="T18" s="59" t="s">
        <v>461</v>
      </c>
      <c r="U18" s="74" t="s">
        <v>21</v>
      </c>
      <c r="V18" s="289" t="s">
        <v>21</v>
      </c>
      <c r="W18" s="368" t="s">
        <v>21</v>
      </c>
      <c r="X18" s="319" t="s">
        <v>21</v>
      </c>
      <c r="Y18" s="169" t="s">
        <v>483</v>
      </c>
      <c r="Z18" s="169" t="s">
        <v>477</v>
      </c>
      <c r="AA18" s="316" t="s">
        <v>21</v>
      </c>
      <c r="AB18" s="74" t="s">
        <v>21</v>
      </c>
      <c r="AC18" s="71" t="s">
        <v>483</v>
      </c>
      <c r="AD18" s="136" t="s">
        <v>21</v>
      </c>
      <c r="AE18" s="71" t="s">
        <v>483</v>
      </c>
      <c r="AF18" s="71" t="s">
        <v>477</v>
      </c>
      <c r="AG18" s="71" t="s">
        <v>100</v>
      </c>
      <c r="AH18" s="71" t="s">
        <v>461</v>
      </c>
      <c r="AI18" s="59"/>
      <c r="AJ18" s="59"/>
      <c r="AK18" s="99"/>
      <c r="AL18" s="268">
        <f t="shared" si="0"/>
        <v>0</v>
      </c>
      <c r="AM18" s="25">
        <f t="shared" si="1"/>
        <v>17</v>
      </c>
      <c r="AN18" s="26">
        <f t="shared" si="2"/>
        <v>11</v>
      </c>
      <c r="AO18" s="29">
        <f t="shared" si="3"/>
        <v>11</v>
      </c>
      <c r="AP18" s="238">
        <v>4</v>
      </c>
      <c r="AQ18" s="689"/>
      <c r="AR18" s="689"/>
      <c r="AS18" s="653"/>
      <c r="AT18" s="653"/>
      <c r="AU18" s="156"/>
      <c r="AV18" s="157"/>
      <c r="AW18" s="157"/>
      <c r="AX18" s="158"/>
      <c r="AY18" s="156"/>
      <c r="AZ18" s="156"/>
      <c r="BA18" s="156"/>
      <c r="BB18" s="156"/>
      <c r="BC18" s="157"/>
      <c r="BD18" s="206"/>
      <c r="BE18" s="206"/>
      <c r="BF18" s="218"/>
      <c r="BG18" s="206"/>
      <c r="BH18" s="16"/>
      <c r="BI18" s="156"/>
      <c r="BJ18" s="157"/>
      <c r="BK18" s="206"/>
      <c r="BL18" s="218"/>
      <c r="BM18" s="218"/>
      <c r="BN18" s="218"/>
      <c r="BO18" s="206"/>
      <c r="BP18" s="203"/>
      <c r="BQ18" s="157"/>
      <c r="BR18" s="206"/>
      <c r="BS18" s="218"/>
      <c r="BT18" s="218"/>
      <c r="BU18" s="306"/>
      <c r="BV18" s="218"/>
      <c r="BW18" s="203"/>
      <c r="BX18" s="157"/>
      <c r="BY18" s="157"/>
      <c r="BZ18" s="159"/>
      <c r="CA18" s="161"/>
      <c r="CB18" s="160"/>
      <c r="CC18" s="160"/>
    </row>
    <row r="19" spans="1:83" ht="22" customHeight="1">
      <c r="A19" s="19"/>
      <c r="B19" s="301">
        <v>13</v>
      </c>
      <c r="C19" s="690" t="s">
        <v>38</v>
      </c>
      <c r="D19" s="691"/>
      <c r="E19" s="686" t="s">
        <v>31</v>
      </c>
      <c r="F19" s="686"/>
      <c r="G19" s="70" t="s">
        <v>21</v>
      </c>
      <c r="H19" s="45" t="s">
        <v>461</v>
      </c>
      <c r="I19" s="40" t="s">
        <v>477</v>
      </c>
      <c r="J19" s="40" t="s">
        <v>477</v>
      </c>
      <c r="K19" s="153" t="s">
        <v>21</v>
      </c>
      <c r="L19" s="59" t="s">
        <v>477</v>
      </c>
      <c r="M19" s="40" t="s">
        <v>463</v>
      </c>
      <c r="N19" s="68" t="s">
        <v>21</v>
      </c>
      <c r="O19" s="40" t="s">
        <v>483</v>
      </c>
      <c r="P19" s="40" t="s">
        <v>477</v>
      </c>
      <c r="Q19" s="40" t="s">
        <v>483</v>
      </c>
      <c r="R19" s="59" t="s">
        <v>483</v>
      </c>
      <c r="S19" s="40" t="s">
        <v>483</v>
      </c>
      <c r="T19" s="57" t="s">
        <v>21</v>
      </c>
      <c r="U19" s="68" t="s">
        <v>21</v>
      </c>
      <c r="V19" s="273" t="s">
        <v>21</v>
      </c>
      <c r="W19" s="68" t="s">
        <v>21</v>
      </c>
      <c r="X19" s="40" t="s">
        <v>473</v>
      </c>
      <c r="Y19" s="59" t="s">
        <v>477</v>
      </c>
      <c r="Z19" s="40" t="s">
        <v>477</v>
      </c>
      <c r="AA19" s="272" t="s">
        <v>21</v>
      </c>
      <c r="AB19" s="110" t="s">
        <v>21</v>
      </c>
      <c r="AC19" s="40" t="s">
        <v>477</v>
      </c>
      <c r="AD19" s="40" t="s">
        <v>477</v>
      </c>
      <c r="AE19" s="57" t="s">
        <v>21</v>
      </c>
      <c r="AF19" s="59" t="s">
        <v>477</v>
      </c>
      <c r="AG19" s="59" t="s">
        <v>477</v>
      </c>
      <c r="AH19" s="57" t="s">
        <v>21</v>
      </c>
      <c r="AI19" s="40"/>
      <c r="AJ19" s="40"/>
      <c r="AK19" s="99"/>
      <c r="AL19" s="268">
        <f t="shared" si="0"/>
        <v>0</v>
      </c>
      <c r="AM19" s="25">
        <f t="shared" si="1"/>
        <v>17</v>
      </c>
      <c r="AN19" s="26">
        <f t="shared" si="2"/>
        <v>11</v>
      </c>
      <c r="AO19" s="29">
        <f t="shared" si="3"/>
        <v>11</v>
      </c>
      <c r="AP19" s="10">
        <v>2</v>
      </c>
      <c r="AQ19" s="303"/>
      <c r="AR19" s="692"/>
      <c r="AS19" s="692"/>
      <c r="AT19" s="693"/>
      <c r="AU19" s="693"/>
      <c r="AV19" s="158"/>
      <c r="AW19" s="157"/>
      <c r="AX19" s="157"/>
      <c r="AY19" s="158"/>
      <c r="AZ19" s="157"/>
      <c r="BA19" s="157"/>
      <c r="BB19" s="157"/>
      <c r="BC19" s="157"/>
      <c r="BD19" s="157"/>
      <c r="BE19" s="157"/>
      <c r="BF19" s="158"/>
      <c r="BG19" s="157"/>
      <c r="BH19" s="158"/>
      <c r="BI19" s="158"/>
      <c r="BJ19" s="158"/>
      <c r="BK19" s="157"/>
      <c r="BL19" s="158"/>
      <c r="BM19" s="157"/>
      <c r="BN19" s="157"/>
      <c r="BO19" s="304"/>
      <c r="BP19" s="157"/>
      <c r="BQ19" s="157"/>
      <c r="BR19" s="157"/>
      <c r="BS19" s="157"/>
      <c r="BT19" s="158"/>
      <c r="BU19" s="157"/>
      <c r="BV19" s="299"/>
      <c r="BW19" s="157"/>
      <c r="BX19" s="158"/>
      <c r="BY19" s="157"/>
      <c r="BZ19" s="158"/>
      <c r="CA19" s="305"/>
      <c r="CB19" s="161"/>
      <c r="CC19" s="161"/>
      <c r="CD19" s="161"/>
    </row>
    <row r="20" spans="1:83" ht="22" customHeight="1" thickBot="1">
      <c r="A20" s="19"/>
      <c r="B20" s="301">
        <v>14</v>
      </c>
      <c r="C20" s="684" t="s">
        <v>200</v>
      </c>
      <c r="D20" s="685"/>
      <c r="E20" s="694" t="s">
        <v>31</v>
      </c>
      <c r="F20" s="695"/>
      <c r="G20" s="58" t="s">
        <v>21</v>
      </c>
      <c r="H20" s="388" t="s">
        <v>461</v>
      </c>
      <c r="I20" s="40" t="s">
        <v>485</v>
      </c>
      <c r="J20" s="59" t="s">
        <v>483</v>
      </c>
      <c r="K20" s="40" t="s">
        <v>477</v>
      </c>
      <c r="L20" s="40" t="s">
        <v>483</v>
      </c>
      <c r="M20" s="114" t="s">
        <v>481</v>
      </c>
      <c r="N20" s="74" t="s">
        <v>21</v>
      </c>
      <c r="O20" s="44" t="s">
        <v>477</v>
      </c>
      <c r="P20" s="44" t="s">
        <v>483</v>
      </c>
      <c r="Q20" s="121" t="s">
        <v>477</v>
      </c>
      <c r="R20" s="44" t="s">
        <v>483</v>
      </c>
      <c r="S20" s="200" t="s">
        <v>21</v>
      </c>
      <c r="T20" s="171" t="s">
        <v>21</v>
      </c>
      <c r="U20" s="74" t="s">
        <v>21</v>
      </c>
      <c r="V20" s="341" t="s">
        <v>461</v>
      </c>
      <c r="W20" s="503" t="s">
        <v>21</v>
      </c>
      <c r="X20" s="372" t="s">
        <v>21</v>
      </c>
      <c r="Y20" s="275" t="s">
        <v>477</v>
      </c>
      <c r="Z20" s="321" t="s">
        <v>483</v>
      </c>
      <c r="AA20" s="282" t="s">
        <v>461</v>
      </c>
      <c r="AB20" s="74" t="s">
        <v>21</v>
      </c>
      <c r="AC20" s="40" t="s">
        <v>483</v>
      </c>
      <c r="AD20" s="40" t="s">
        <v>477</v>
      </c>
      <c r="AE20" s="59" t="s">
        <v>477</v>
      </c>
      <c r="AF20" s="57" t="s">
        <v>478</v>
      </c>
      <c r="AG20" s="40" t="s">
        <v>483</v>
      </c>
      <c r="AH20" s="114" t="s">
        <v>21</v>
      </c>
      <c r="AI20" s="57"/>
      <c r="AJ20" s="59"/>
      <c r="AK20" s="65"/>
      <c r="AL20" s="369">
        <f t="shared" si="0"/>
        <v>0</v>
      </c>
      <c r="AM20" s="25">
        <f t="shared" si="1"/>
        <v>17</v>
      </c>
      <c r="AN20" s="26">
        <f t="shared" si="2"/>
        <v>11</v>
      </c>
      <c r="AO20" s="29">
        <f t="shared" si="3"/>
        <v>11</v>
      </c>
      <c r="AP20" s="10">
        <v>3</v>
      </c>
      <c r="AQ20" s="689"/>
      <c r="AR20" s="689"/>
      <c r="AS20" s="653"/>
      <c r="AT20" s="653"/>
      <c r="AU20" s="304"/>
      <c r="AV20" s="158"/>
      <c r="AW20" s="158"/>
      <c r="AX20" s="158"/>
      <c r="AY20" s="157"/>
      <c r="AZ20" s="157"/>
      <c r="BA20" s="158"/>
      <c r="BB20" s="156"/>
      <c r="BC20" s="158"/>
      <c r="BD20" s="158"/>
      <c r="BE20" s="489"/>
      <c r="BF20" s="157"/>
      <c r="BG20" s="156"/>
      <c r="BH20" s="158"/>
      <c r="BI20" s="158"/>
      <c r="BJ20" s="489"/>
      <c r="BK20" s="157"/>
      <c r="BL20" s="158"/>
      <c r="BM20" s="157"/>
      <c r="BN20" s="158"/>
      <c r="BO20" s="158"/>
      <c r="BP20" s="203"/>
      <c r="BQ20" s="158"/>
      <c r="BR20" s="304"/>
      <c r="BS20" s="304"/>
      <c r="BT20" s="157"/>
      <c r="BU20" s="156"/>
      <c r="BV20" s="158"/>
      <c r="BW20" s="156"/>
      <c r="BX20" s="158"/>
      <c r="BY20" s="158"/>
      <c r="BZ20" s="159"/>
      <c r="CA20" s="161"/>
      <c r="CB20" s="160"/>
      <c r="CC20" s="160"/>
    </row>
    <row r="21" spans="1:83" ht="22" customHeight="1">
      <c r="A21" s="19"/>
      <c r="B21" s="301">
        <v>15</v>
      </c>
      <c r="C21" s="684" t="s">
        <v>26</v>
      </c>
      <c r="D21" s="685"/>
      <c r="E21" s="686" t="s">
        <v>31</v>
      </c>
      <c r="F21" s="686"/>
      <c r="G21" s="58" t="s">
        <v>21</v>
      </c>
      <c r="H21" s="388" t="s">
        <v>461</v>
      </c>
      <c r="I21" s="57" t="s">
        <v>478</v>
      </c>
      <c r="J21" s="59" t="s">
        <v>483</v>
      </c>
      <c r="K21" s="59" t="s">
        <v>483</v>
      </c>
      <c r="L21" s="59" t="s">
        <v>60</v>
      </c>
      <c r="M21" s="40" t="s">
        <v>463</v>
      </c>
      <c r="N21" s="74" t="s">
        <v>21</v>
      </c>
      <c r="O21" s="270" t="s">
        <v>483</v>
      </c>
      <c r="P21" s="279" t="s">
        <v>21</v>
      </c>
      <c r="Q21" s="169" t="s">
        <v>483</v>
      </c>
      <c r="R21" s="169" t="s">
        <v>477</v>
      </c>
      <c r="S21" s="169" t="s">
        <v>483</v>
      </c>
      <c r="T21" s="316" t="s">
        <v>21</v>
      </c>
      <c r="U21" s="47" t="s">
        <v>21</v>
      </c>
      <c r="V21" s="153" t="s">
        <v>21</v>
      </c>
      <c r="W21" s="62" t="s">
        <v>21</v>
      </c>
      <c r="X21" s="71" t="s">
        <v>471</v>
      </c>
      <c r="Y21" s="71" t="s">
        <v>483</v>
      </c>
      <c r="Z21" s="71" t="s">
        <v>477</v>
      </c>
      <c r="AA21" s="170" t="s">
        <v>21</v>
      </c>
      <c r="AB21" s="47" t="s">
        <v>21</v>
      </c>
      <c r="AC21" s="59" t="s">
        <v>477</v>
      </c>
      <c r="AD21" s="40" t="s">
        <v>506</v>
      </c>
      <c r="AE21" s="59" t="s">
        <v>477</v>
      </c>
      <c r="AF21" s="59" t="s">
        <v>477</v>
      </c>
      <c r="AG21" s="40" t="s">
        <v>477</v>
      </c>
      <c r="AH21" s="57" t="s">
        <v>21</v>
      </c>
      <c r="AI21" s="40"/>
      <c r="AJ21" s="59"/>
      <c r="AK21" s="226"/>
      <c r="AL21" s="267">
        <f t="shared" si="0"/>
        <v>0</v>
      </c>
      <c r="AM21" s="25">
        <f t="shared" si="1"/>
        <v>17</v>
      </c>
      <c r="AN21" s="26">
        <f t="shared" si="2"/>
        <v>11</v>
      </c>
      <c r="AO21" s="29">
        <f t="shared" si="3"/>
        <v>11</v>
      </c>
      <c r="AP21" s="10">
        <v>4</v>
      </c>
      <c r="AQ21" s="652"/>
      <c r="AR21" s="652"/>
      <c r="AS21" s="653"/>
      <c r="AT21" s="653"/>
      <c r="AU21" s="203"/>
      <c r="AV21" s="158"/>
      <c r="AW21" s="157"/>
      <c r="AX21" s="158"/>
      <c r="AY21" s="158"/>
      <c r="AZ21" s="157"/>
      <c r="BA21" s="157"/>
      <c r="BB21" s="203"/>
      <c r="BC21" s="158"/>
      <c r="BD21" s="157"/>
      <c r="BE21" s="156"/>
      <c r="BF21" s="158"/>
      <c r="BG21" s="158"/>
      <c r="BH21" s="157"/>
      <c r="BI21" s="158"/>
      <c r="BJ21" s="158"/>
      <c r="BK21" s="158"/>
      <c r="BL21" s="158"/>
      <c r="BM21" s="158"/>
      <c r="BN21" s="158"/>
      <c r="BO21" s="158"/>
      <c r="BP21" s="203"/>
      <c r="BQ21" s="158"/>
      <c r="BR21" s="157"/>
      <c r="BS21" s="158"/>
      <c r="BT21" s="158"/>
      <c r="BU21" s="158"/>
      <c r="BV21" s="156"/>
      <c r="BW21" s="158"/>
      <c r="BX21" s="158"/>
      <c r="BY21" s="156"/>
      <c r="BZ21" s="159"/>
      <c r="CA21" s="161"/>
      <c r="CB21" s="160"/>
      <c r="CC21" s="160"/>
    </row>
    <row r="22" spans="1:83" ht="22" customHeight="1">
      <c r="A22" s="19"/>
      <c r="B22" s="301">
        <v>16</v>
      </c>
      <c r="C22" s="687" t="s">
        <v>45</v>
      </c>
      <c r="D22" s="688"/>
      <c r="E22" s="686" t="s">
        <v>31</v>
      </c>
      <c r="F22" s="686"/>
      <c r="G22" s="58" t="s">
        <v>21</v>
      </c>
      <c r="H22" s="388" t="s">
        <v>461</v>
      </c>
      <c r="I22" s="40" t="s">
        <v>486</v>
      </c>
      <c r="J22" s="121" t="s">
        <v>483</v>
      </c>
      <c r="K22" s="40" t="s">
        <v>477</v>
      </c>
      <c r="L22" s="40" t="s">
        <v>477</v>
      </c>
      <c r="M22" s="114" t="s">
        <v>21</v>
      </c>
      <c r="N22" s="74" t="s">
        <v>21</v>
      </c>
      <c r="O22" s="280" t="s">
        <v>483</v>
      </c>
      <c r="P22" s="40" t="s">
        <v>477</v>
      </c>
      <c r="Q22" s="59" t="s">
        <v>477</v>
      </c>
      <c r="R22" s="59" t="s">
        <v>59</v>
      </c>
      <c r="S22" s="40" t="s">
        <v>477</v>
      </c>
      <c r="T22" s="318" t="s">
        <v>21</v>
      </c>
      <c r="U22" s="47" t="s">
        <v>21</v>
      </c>
      <c r="V22" s="59" t="s">
        <v>471</v>
      </c>
      <c r="W22" s="47" t="s">
        <v>21</v>
      </c>
      <c r="X22" s="153" t="s">
        <v>21</v>
      </c>
      <c r="Y22" s="57" t="s">
        <v>21</v>
      </c>
      <c r="Z22" s="40" t="s">
        <v>477</v>
      </c>
      <c r="AA22" s="59" t="s">
        <v>463</v>
      </c>
      <c r="AB22" s="47" t="s">
        <v>21</v>
      </c>
      <c r="AC22" s="114" t="s">
        <v>21</v>
      </c>
      <c r="AD22" s="40" t="s">
        <v>483</v>
      </c>
      <c r="AE22" s="59" t="s">
        <v>477</v>
      </c>
      <c r="AF22" s="40" t="s">
        <v>477</v>
      </c>
      <c r="AG22" s="40" t="s">
        <v>483</v>
      </c>
      <c r="AH22" s="114" t="s">
        <v>21</v>
      </c>
      <c r="AI22" s="40"/>
      <c r="AJ22" s="114"/>
      <c r="AK22" s="65"/>
      <c r="AL22" s="268">
        <f t="shared" si="0"/>
        <v>0</v>
      </c>
      <c r="AM22" s="25">
        <f t="shared" si="1"/>
        <v>17</v>
      </c>
      <c r="AN22" s="26">
        <f t="shared" si="2"/>
        <v>11</v>
      </c>
      <c r="AO22" s="29">
        <f t="shared" si="3"/>
        <v>11</v>
      </c>
      <c r="AP22" s="10">
        <v>4</v>
      </c>
      <c r="AQ22" s="689"/>
      <c r="AR22" s="689"/>
      <c r="AS22" s="653"/>
      <c r="AT22" s="653"/>
      <c r="AU22" s="304"/>
      <c r="AV22" s="158"/>
      <c r="AW22" s="158"/>
      <c r="AX22" s="158"/>
      <c r="AY22" s="157"/>
      <c r="AZ22" s="157"/>
      <c r="BA22" s="158"/>
      <c r="BB22" s="156"/>
      <c r="BC22" s="158"/>
      <c r="BD22" s="158"/>
      <c r="BE22" s="489"/>
      <c r="BF22" s="157"/>
      <c r="BG22" s="156"/>
      <c r="BH22" s="158"/>
      <c r="BI22" s="158"/>
      <c r="BJ22" s="489"/>
      <c r="BK22" s="157"/>
      <c r="BL22" s="158"/>
      <c r="BM22" s="157"/>
      <c r="BN22" s="158"/>
      <c r="BO22" s="158"/>
      <c r="BP22" s="203"/>
      <c r="BQ22" s="158"/>
      <c r="BR22" s="304"/>
      <c r="BS22" s="304"/>
      <c r="BT22" s="157"/>
      <c r="BU22" s="156"/>
      <c r="BV22" s="158"/>
      <c r="BW22" s="156"/>
      <c r="BX22" s="158"/>
      <c r="BY22" s="189"/>
    </row>
    <row r="23" spans="1:83" ht="22" customHeight="1">
      <c r="A23" s="19"/>
      <c r="B23" s="301">
        <v>17</v>
      </c>
      <c r="C23" s="682" t="s">
        <v>95</v>
      </c>
      <c r="D23" s="683"/>
      <c r="E23" s="673" t="s">
        <v>31</v>
      </c>
      <c r="F23" s="674"/>
      <c r="G23" s="70" t="s">
        <v>21</v>
      </c>
      <c r="H23" s="45" t="s">
        <v>463</v>
      </c>
      <c r="I23" s="68" t="s">
        <v>483</v>
      </c>
      <c r="J23" s="224" t="s">
        <v>68</v>
      </c>
      <c r="K23" s="47" t="s">
        <v>483</v>
      </c>
      <c r="L23" s="59" t="s">
        <v>477</v>
      </c>
      <c r="M23" s="114" t="s">
        <v>21</v>
      </c>
      <c r="N23" s="110" t="s">
        <v>21</v>
      </c>
      <c r="O23" s="285" t="s">
        <v>483</v>
      </c>
      <c r="P23" s="40" t="s">
        <v>483</v>
      </c>
      <c r="Q23" s="224" t="s">
        <v>68</v>
      </c>
      <c r="R23" s="59" t="s">
        <v>477</v>
      </c>
      <c r="S23" s="40" t="s">
        <v>483</v>
      </c>
      <c r="T23" s="313" t="s">
        <v>461</v>
      </c>
      <c r="U23" s="64" t="s">
        <v>21</v>
      </c>
      <c r="V23" s="57" t="s">
        <v>21</v>
      </c>
      <c r="W23" s="64" t="s">
        <v>21</v>
      </c>
      <c r="X23" s="137" t="s">
        <v>21</v>
      </c>
      <c r="Y23" s="59" t="s">
        <v>477</v>
      </c>
      <c r="Z23" s="59" t="s">
        <v>483</v>
      </c>
      <c r="AA23" s="40" t="s">
        <v>473</v>
      </c>
      <c r="AB23" s="64" t="s">
        <v>21</v>
      </c>
      <c r="AC23" s="40" t="s">
        <v>483</v>
      </c>
      <c r="AD23" s="40" t="s">
        <v>477</v>
      </c>
      <c r="AE23" s="40" t="s">
        <v>477</v>
      </c>
      <c r="AF23" s="59" t="s">
        <v>486</v>
      </c>
      <c r="AG23" s="57" t="s">
        <v>21</v>
      </c>
      <c r="AH23" s="153" t="s">
        <v>21</v>
      </c>
      <c r="AI23" s="40"/>
      <c r="AJ23" s="40"/>
      <c r="AK23" s="226"/>
      <c r="AL23" s="268">
        <f t="shared" si="0"/>
        <v>0</v>
      </c>
      <c r="AM23" s="25">
        <f t="shared" si="1"/>
        <v>16</v>
      </c>
      <c r="AN23" s="26">
        <v>11</v>
      </c>
      <c r="AO23" s="29">
        <f t="shared" si="3"/>
        <v>11</v>
      </c>
      <c r="AP23" s="10">
        <v>3.5</v>
      </c>
      <c r="AR23" s="96"/>
      <c r="AS23" s="96"/>
    </row>
    <row r="24" spans="1:83" ht="22" customHeight="1" thickBot="1">
      <c r="A24" s="19"/>
      <c r="B24" s="54">
        <v>18</v>
      </c>
      <c r="C24" s="675" t="s">
        <v>48</v>
      </c>
      <c r="D24" s="676"/>
      <c r="E24" s="677" t="s">
        <v>31</v>
      </c>
      <c r="F24" s="677"/>
      <c r="G24" s="100" t="s">
        <v>21</v>
      </c>
      <c r="H24" s="389" t="s">
        <v>463</v>
      </c>
      <c r="I24" s="93" t="s">
        <v>486</v>
      </c>
      <c r="J24" s="115" t="s">
        <v>477</v>
      </c>
      <c r="K24" s="141" t="s">
        <v>21</v>
      </c>
      <c r="L24" s="93" t="s">
        <v>482</v>
      </c>
      <c r="M24" s="93" t="s">
        <v>461</v>
      </c>
      <c r="N24" s="214" t="s">
        <v>21</v>
      </c>
      <c r="O24" s="341" t="s">
        <v>477</v>
      </c>
      <c r="P24" s="321" t="s">
        <v>483</v>
      </c>
      <c r="Q24" s="275" t="s">
        <v>477</v>
      </c>
      <c r="R24" s="334" t="s">
        <v>21</v>
      </c>
      <c r="S24" s="321" t="s">
        <v>477</v>
      </c>
      <c r="T24" s="315" t="s">
        <v>21</v>
      </c>
      <c r="U24" s="46" t="s">
        <v>21</v>
      </c>
      <c r="V24" s="153" t="s">
        <v>21</v>
      </c>
      <c r="W24" s="46" t="s">
        <v>21</v>
      </c>
      <c r="X24" s="93" t="s">
        <v>463</v>
      </c>
      <c r="Y24" s="93" t="s">
        <v>477</v>
      </c>
      <c r="Z24" s="43" t="s">
        <v>483</v>
      </c>
      <c r="AA24" s="50" t="s">
        <v>21</v>
      </c>
      <c r="AB24" s="46" t="s">
        <v>21</v>
      </c>
      <c r="AC24" s="93" t="s">
        <v>483</v>
      </c>
      <c r="AD24" s="93" t="s">
        <v>477</v>
      </c>
      <c r="AE24" s="93" t="s">
        <v>2</v>
      </c>
      <c r="AF24" s="141" t="s">
        <v>21</v>
      </c>
      <c r="AG24" s="93" t="s">
        <v>483</v>
      </c>
      <c r="AH24" s="93" t="s">
        <v>506</v>
      </c>
      <c r="AI24" s="93"/>
      <c r="AJ24" s="93"/>
      <c r="AK24" s="227"/>
      <c r="AL24" s="369">
        <f t="shared" si="0"/>
        <v>0</v>
      </c>
      <c r="AM24" s="260">
        <f t="shared" si="1"/>
        <v>17</v>
      </c>
      <c r="AN24" s="32">
        <f t="shared" si="2"/>
        <v>11</v>
      </c>
      <c r="AO24" s="28">
        <f t="shared" si="3"/>
        <v>11</v>
      </c>
      <c r="AP24" s="10">
        <v>3</v>
      </c>
      <c r="AR24" s="300"/>
      <c r="AS24" s="652"/>
      <c r="AT24" s="652"/>
      <c r="AU24" s="653"/>
      <c r="AV24" s="653"/>
      <c r="AW24" s="203"/>
      <c r="AX24" s="157"/>
      <c r="AY24" s="157"/>
      <c r="AZ24" s="298"/>
      <c r="BA24" s="157"/>
      <c r="BB24" s="156"/>
      <c r="BC24" s="157"/>
      <c r="BD24" s="157"/>
      <c r="BE24" s="157"/>
      <c r="BF24" s="204"/>
      <c r="BG24" s="157"/>
      <c r="BH24" s="157"/>
      <c r="BI24" s="298"/>
      <c r="BJ24" s="157"/>
      <c r="BK24" s="157"/>
      <c r="BL24" s="157"/>
      <c r="BM24" s="204"/>
      <c r="BN24" s="156"/>
      <c r="BO24" s="157"/>
      <c r="BP24" s="157"/>
      <c r="BQ24" s="157"/>
      <c r="BR24" s="203"/>
      <c r="BS24" s="157"/>
      <c r="BT24" s="157"/>
      <c r="BU24" s="158"/>
      <c r="BV24" s="157"/>
      <c r="BW24" s="299"/>
      <c r="BX24" s="157"/>
      <c r="BY24" s="157"/>
      <c r="BZ24" s="157"/>
      <c r="CA24" s="157"/>
      <c r="CB24" s="159"/>
      <c r="CC24" s="161"/>
      <c r="CD24" s="160"/>
      <c r="CE24" s="160"/>
    </row>
    <row r="25" spans="1:83" ht="22" customHeight="1">
      <c r="A25" s="19"/>
      <c r="B25" s="416">
        <v>19</v>
      </c>
      <c r="C25" s="678" t="s">
        <v>197</v>
      </c>
      <c r="D25" s="679"/>
      <c r="E25" s="680" t="s">
        <v>94</v>
      </c>
      <c r="F25" s="681"/>
      <c r="G25" s="414" t="s">
        <v>1</v>
      </c>
      <c r="H25" s="511" t="s">
        <v>2</v>
      </c>
      <c r="I25" s="42" t="s">
        <v>483</v>
      </c>
      <c r="J25" s="42" t="s">
        <v>483</v>
      </c>
      <c r="K25" s="42" t="s">
        <v>477</v>
      </c>
      <c r="L25" s="42" t="s">
        <v>477</v>
      </c>
      <c r="M25" s="48" t="s">
        <v>21</v>
      </c>
      <c r="N25" s="39" t="s">
        <v>55</v>
      </c>
      <c r="O25" s="39" t="s">
        <v>477</v>
      </c>
      <c r="P25" s="39" t="s">
        <v>477</v>
      </c>
      <c r="Q25" s="39" t="s">
        <v>483</v>
      </c>
      <c r="R25" s="42" t="s">
        <v>483</v>
      </c>
      <c r="S25" s="39" t="s">
        <v>483</v>
      </c>
      <c r="T25" s="48" t="s">
        <v>21</v>
      </c>
      <c r="U25" s="39" t="s">
        <v>99</v>
      </c>
      <c r="V25" s="48" t="s">
        <v>465</v>
      </c>
      <c r="W25" s="39" t="s">
        <v>1</v>
      </c>
      <c r="X25" s="48" t="s">
        <v>21</v>
      </c>
      <c r="Y25" s="39" t="s">
        <v>483</v>
      </c>
      <c r="Z25" s="39" t="s">
        <v>477</v>
      </c>
      <c r="AA25" s="48" t="s">
        <v>21</v>
      </c>
      <c r="AB25" s="39" t="s">
        <v>1</v>
      </c>
      <c r="AC25" s="79" t="s">
        <v>477</v>
      </c>
      <c r="AD25" s="39" t="s">
        <v>483</v>
      </c>
      <c r="AE25" s="39" t="s">
        <v>477</v>
      </c>
      <c r="AF25" s="39" t="s">
        <v>477</v>
      </c>
      <c r="AG25" s="39" t="s">
        <v>477</v>
      </c>
      <c r="AH25" s="48" t="s">
        <v>21</v>
      </c>
      <c r="AI25" s="42"/>
      <c r="AJ25" s="42"/>
      <c r="AK25" s="148"/>
      <c r="AL25" s="55">
        <f t="shared" si="0"/>
        <v>0</v>
      </c>
      <c r="AM25" s="21">
        <f t="shared" si="1"/>
        <v>17</v>
      </c>
      <c r="AN25" s="22">
        <f t="shared" si="2"/>
        <v>11</v>
      </c>
      <c r="AO25" s="295">
        <f t="shared" si="3"/>
        <v>11</v>
      </c>
      <c r="AP25" s="10">
        <v>3</v>
      </c>
      <c r="AR25" s="652"/>
      <c r="AS25" s="652"/>
      <c r="AT25" s="653"/>
      <c r="AU25" s="653"/>
      <c r="AV25" s="203"/>
      <c r="AW25" s="157"/>
      <c r="AX25" s="157"/>
      <c r="AY25" s="298"/>
      <c r="AZ25" s="157"/>
      <c r="BA25" s="156"/>
      <c r="BB25" s="157"/>
      <c r="BC25" s="203"/>
      <c r="BD25" s="157"/>
      <c r="BE25" s="204"/>
      <c r="BF25" s="298"/>
      <c r="BG25" s="157"/>
      <c r="BH25" s="158"/>
      <c r="BI25" s="157"/>
      <c r="BJ25" s="298"/>
      <c r="BK25" s="157"/>
      <c r="BL25" s="204"/>
      <c r="BM25" s="156"/>
      <c r="BN25" s="157"/>
      <c r="BO25" s="298"/>
      <c r="BP25" s="157"/>
      <c r="BQ25" s="156"/>
      <c r="BR25" s="157"/>
      <c r="BS25" s="157"/>
      <c r="BT25" s="156"/>
      <c r="BU25" s="157"/>
      <c r="BV25" s="299"/>
      <c r="BW25" s="157"/>
      <c r="BX25" s="203"/>
      <c r="BY25" s="157"/>
      <c r="BZ25" s="157"/>
      <c r="CA25" s="159"/>
      <c r="CB25" s="161"/>
      <c r="CC25" s="160"/>
      <c r="CD25" s="160"/>
    </row>
    <row r="26" spans="1:83" ht="22.5" customHeight="1">
      <c r="A26" s="659"/>
      <c r="B26" s="660" t="s">
        <v>3</v>
      </c>
      <c r="C26" s="661"/>
      <c r="D26" s="661"/>
      <c r="E26" s="662"/>
      <c r="F26" s="297" t="s">
        <v>2</v>
      </c>
      <c r="G26" s="461">
        <f>COUNTIF(G6:G23,"D")</f>
        <v>0</v>
      </c>
      <c r="H26" s="240">
        <f>COUNTIF(H6:H24,"D")</f>
        <v>17</v>
      </c>
      <c r="I26" s="240">
        <f t="shared" ref="I26:AH26" si="4">COUNTIF(I6:I24,"D")</f>
        <v>16</v>
      </c>
      <c r="J26" s="240">
        <f t="shared" si="4"/>
        <v>16</v>
      </c>
      <c r="K26" s="240">
        <f t="shared" si="4"/>
        <v>14</v>
      </c>
      <c r="L26" s="240">
        <f t="shared" si="4"/>
        <v>16</v>
      </c>
      <c r="M26" s="240">
        <f t="shared" si="4"/>
        <v>6</v>
      </c>
      <c r="N26" s="240">
        <f t="shared" si="4"/>
        <v>0</v>
      </c>
      <c r="O26" s="240">
        <f t="shared" si="4"/>
        <v>15</v>
      </c>
      <c r="P26" s="240">
        <f t="shared" si="4"/>
        <v>15</v>
      </c>
      <c r="Q26" s="240">
        <f t="shared" si="4"/>
        <v>15</v>
      </c>
      <c r="R26" s="240">
        <f t="shared" si="4"/>
        <v>14</v>
      </c>
      <c r="S26" s="240">
        <f t="shared" si="4"/>
        <v>16</v>
      </c>
      <c r="T26" s="240">
        <f t="shared" si="4"/>
        <v>6</v>
      </c>
      <c r="U26" s="240">
        <f t="shared" si="4"/>
        <v>0</v>
      </c>
      <c r="V26" s="240">
        <f t="shared" si="4"/>
        <v>6</v>
      </c>
      <c r="W26" s="240">
        <f t="shared" si="4"/>
        <v>0</v>
      </c>
      <c r="X26" s="240">
        <f t="shared" si="4"/>
        <v>6</v>
      </c>
      <c r="Y26" s="240">
        <f t="shared" si="4"/>
        <v>16</v>
      </c>
      <c r="Z26" s="240">
        <f t="shared" si="4"/>
        <v>18</v>
      </c>
      <c r="AA26" s="240">
        <f t="shared" si="4"/>
        <v>6</v>
      </c>
      <c r="AB26" s="240">
        <f t="shared" si="4"/>
        <v>0</v>
      </c>
      <c r="AC26" s="240">
        <f t="shared" si="4"/>
        <v>14</v>
      </c>
      <c r="AD26" s="240">
        <f t="shared" si="4"/>
        <v>16</v>
      </c>
      <c r="AE26" s="240">
        <f t="shared" si="4"/>
        <v>14</v>
      </c>
      <c r="AF26" s="240">
        <f t="shared" si="4"/>
        <v>13</v>
      </c>
      <c r="AG26" s="240">
        <f t="shared" si="4"/>
        <v>15</v>
      </c>
      <c r="AH26" s="240">
        <f t="shared" si="4"/>
        <v>6</v>
      </c>
      <c r="AI26" s="210">
        <f t="shared" ref="AI26:AK26" si="5">COUNTIF(AI6:AI23,"D")</f>
        <v>0</v>
      </c>
      <c r="AJ26" s="496">
        <f t="shared" si="5"/>
        <v>0</v>
      </c>
      <c r="AK26" s="211">
        <f t="shared" si="5"/>
        <v>0</v>
      </c>
      <c r="AL26" s="175">
        <f t="shared" si="0"/>
        <v>0</v>
      </c>
      <c r="AM26" s="33">
        <f t="shared" si="1"/>
        <v>0</v>
      </c>
      <c r="AN26" s="34">
        <f t="shared" si="2"/>
        <v>0</v>
      </c>
      <c r="AO26" s="410">
        <f t="shared" si="3"/>
        <v>0</v>
      </c>
      <c r="AP26" s="10"/>
    </row>
    <row r="27" spans="1:83" ht="22.5" customHeight="1">
      <c r="A27" s="659"/>
      <c r="B27" s="663" t="s">
        <v>4</v>
      </c>
      <c r="C27" s="664"/>
      <c r="D27" s="664"/>
      <c r="E27" s="665"/>
      <c r="F27" s="2" t="s">
        <v>1</v>
      </c>
      <c r="G27" s="14">
        <f t="shared" ref="G27:AK27" si="6">COUNTIF(G6:G25,"●")</f>
        <v>20</v>
      </c>
      <c r="H27" s="14">
        <f t="shared" si="6"/>
        <v>1</v>
      </c>
      <c r="I27" s="14">
        <f t="shared" si="6"/>
        <v>2</v>
      </c>
      <c r="J27" s="14">
        <f t="shared" si="6"/>
        <v>1</v>
      </c>
      <c r="K27" s="14">
        <f t="shared" si="6"/>
        <v>4</v>
      </c>
      <c r="L27" s="14">
        <f t="shared" si="6"/>
        <v>2</v>
      </c>
      <c r="M27" s="14">
        <f t="shared" si="6"/>
        <v>13</v>
      </c>
      <c r="N27" s="14">
        <f t="shared" si="6"/>
        <v>20</v>
      </c>
      <c r="O27" s="14">
        <f t="shared" si="6"/>
        <v>3</v>
      </c>
      <c r="P27" s="14">
        <f t="shared" si="6"/>
        <v>1</v>
      </c>
      <c r="Q27" s="14">
        <f t="shared" si="6"/>
        <v>1</v>
      </c>
      <c r="R27" s="14">
        <f t="shared" si="6"/>
        <v>3</v>
      </c>
      <c r="S27" s="14">
        <f t="shared" si="6"/>
        <v>2</v>
      </c>
      <c r="T27" s="14">
        <f t="shared" si="6"/>
        <v>13</v>
      </c>
      <c r="U27" s="14">
        <f t="shared" si="6"/>
        <v>20</v>
      </c>
      <c r="V27" s="14">
        <f t="shared" si="6"/>
        <v>13</v>
      </c>
      <c r="W27" s="14">
        <f t="shared" si="6"/>
        <v>20</v>
      </c>
      <c r="X27" s="14">
        <f t="shared" si="6"/>
        <v>13</v>
      </c>
      <c r="Y27" s="14">
        <f t="shared" si="6"/>
        <v>2</v>
      </c>
      <c r="Z27" s="14">
        <f t="shared" si="6"/>
        <v>0</v>
      </c>
      <c r="AA27" s="14">
        <f t="shared" si="6"/>
        <v>13</v>
      </c>
      <c r="AB27" s="14">
        <f t="shared" si="6"/>
        <v>20</v>
      </c>
      <c r="AC27" s="14">
        <f t="shared" si="6"/>
        <v>2</v>
      </c>
      <c r="AD27" s="14">
        <f t="shared" si="6"/>
        <v>2</v>
      </c>
      <c r="AE27" s="14">
        <f t="shared" si="6"/>
        <v>4</v>
      </c>
      <c r="AF27" s="14">
        <f t="shared" si="6"/>
        <v>5</v>
      </c>
      <c r="AG27" s="14">
        <f t="shared" si="6"/>
        <v>3</v>
      </c>
      <c r="AH27" s="14">
        <f t="shared" si="6"/>
        <v>13</v>
      </c>
      <c r="AI27" s="14">
        <f t="shared" si="6"/>
        <v>0</v>
      </c>
      <c r="AJ27" s="14">
        <f t="shared" si="6"/>
        <v>0</v>
      </c>
      <c r="AK27" s="14">
        <f t="shared" si="6"/>
        <v>0</v>
      </c>
      <c r="AL27" s="666" t="s">
        <v>524</v>
      </c>
      <c r="AM27" s="667"/>
      <c r="AN27" s="667"/>
      <c r="AO27" s="668"/>
      <c r="AP27" s="10"/>
    </row>
    <row r="28" spans="1:83" ht="22.5" customHeight="1" thickBot="1">
      <c r="A28" s="743"/>
      <c r="B28" s="670" t="s">
        <v>5</v>
      </c>
      <c r="C28" s="671"/>
      <c r="D28" s="671"/>
      <c r="E28" s="672"/>
      <c r="F28" s="3" t="s">
        <v>0</v>
      </c>
      <c r="G28" s="14">
        <f t="shared" ref="G28:AK28" si="7">COUNTIF(G6:G25,"▲")</f>
        <v>0</v>
      </c>
      <c r="H28" s="14">
        <f t="shared" si="7"/>
        <v>0</v>
      </c>
      <c r="I28" s="14">
        <f t="shared" si="7"/>
        <v>0</v>
      </c>
      <c r="J28" s="14">
        <f t="shared" si="7"/>
        <v>0</v>
      </c>
      <c r="K28" s="14">
        <f t="shared" si="7"/>
        <v>0</v>
      </c>
      <c r="L28" s="14">
        <f t="shared" si="7"/>
        <v>0</v>
      </c>
      <c r="M28" s="14">
        <f t="shared" si="7"/>
        <v>0</v>
      </c>
      <c r="N28" s="14">
        <f t="shared" si="7"/>
        <v>0</v>
      </c>
      <c r="O28" s="14">
        <f t="shared" si="7"/>
        <v>0</v>
      </c>
      <c r="P28" s="14">
        <f t="shared" si="7"/>
        <v>2</v>
      </c>
      <c r="Q28" s="14">
        <f t="shared" si="7"/>
        <v>1</v>
      </c>
      <c r="R28" s="14">
        <f t="shared" si="7"/>
        <v>0</v>
      </c>
      <c r="S28" s="14">
        <f t="shared" si="7"/>
        <v>0</v>
      </c>
      <c r="T28" s="14">
        <f t="shared" si="7"/>
        <v>0</v>
      </c>
      <c r="U28" s="14">
        <f t="shared" si="7"/>
        <v>0</v>
      </c>
      <c r="V28" s="14">
        <f t="shared" si="7"/>
        <v>0</v>
      </c>
      <c r="W28" s="14">
        <f t="shared" si="7"/>
        <v>0</v>
      </c>
      <c r="X28" s="14">
        <f t="shared" si="7"/>
        <v>0</v>
      </c>
      <c r="Y28" s="14">
        <f t="shared" si="7"/>
        <v>0</v>
      </c>
      <c r="Z28" s="14">
        <f t="shared" si="7"/>
        <v>0</v>
      </c>
      <c r="AA28" s="14">
        <f t="shared" si="7"/>
        <v>0</v>
      </c>
      <c r="AB28" s="14">
        <f t="shared" si="7"/>
        <v>0</v>
      </c>
      <c r="AC28" s="14">
        <f t="shared" si="7"/>
        <v>1</v>
      </c>
      <c r="AD28" s="14">
        <f t="shared" si="7"/>
        <v>0</v>
      </c>
      <c r="AE28" s="14">
        <f t="shared" si="7"/>
        <v>0</v>
      </c>
      <c r="AF28" s="14">
        <f t="shared" si="7"/>
        <v>0</v>
      </c>
      <c r="AG28" s="14">
        <f t="shared" si="7"/>
        <v>0</v>
      </c>
      <c r="AH28" s="52" t="s">
        <v>19</v>
      </c>
      <c r="AI28" s="14">
        <f t="shared" si="7"/>
        <v>0</v>
      </c>
      <c r="AJ28" s="14">
        <f t="shared" si="7"/>
        <v>0</v>
      </c>
      <c r="AK28" s="14">
        <f t="shared" si="7"/>
        <v>0</v>
      </c>
      <c r="AL28" s="52" t="s">
        <v>19</v>
      </c>
      <c r="AM28" s="649" t="s">
        <v>17</v>
      </c>
      <c r="AN28" s="650"/>
      <c r="AO28" s="651"/>
      <c r="AP28" s="10"/>
    </row>
    <row r="29" spans="1:83" ht="22.5" customHeight="1" thickTop="1" thickBot="1">
      <c r="A29" s="743"/>
      <c r="B29" s="654"/>
      <c r="C29" s="654"/>
      <c r="D29" s="654"/>
      <c r="E29" s="654"/>
      <c r="F29" s="654"/>
      <c r="G29" s="286"/>
      <c r="H29" s="651" t="s">
        <v>93</v>
      </c>
      <c r="I29" s="655"/>
      <c r="J29" s="655"/>
      <c r="K29" s="3" t="s">
        <v>72</v>
      </c>
      <c r="L29" s="649" t="s">
        <v>5</v>
      </c>
      <c r="M29" s="651"/>
      <c r="N29" s="5" t="s">
        <v>68</v>
      </c>
      <c r="O29" s="656" t="s">
        <v>177</v>
      </c>
      <c r="P29" s="657"/>
      <c r="Q29" s="658"/>
      <c r="R29" s="5" t="s">
        <v>91</v>
      </c>
      <c r="S29" s="656" t="s">
        <v>179</v>
      </c>
      <c r="T29" s="657"/>
      <c r="U29" s="658"/>
      <c r="V29" s="6" t="s">
        <v>56</v>
      </c>
      <c r="W29" s="644" t="s">
        <v>178</v>
      </c>
      <c r="X29" s="645"/>
      <c r="Y29" s="645"/>
      <c r="Z29" s="6" t="s">
        <v>83</v>
      </c>
      <c r="AA29" s="644" t="s">
        <v>180</v>
      </c>
      <c r="AB29" s="645"/>
      <c r="AC29" s="645"/>
      <c r="AD29" s="152" t="s">
        <v>1</v>
      </c>
      <c r="AE29" s="646" t="s">
        <v>175</v>
      </c>
      <c r="AF29" s="647"/>
      <c r="AG29" s="648"/>
      <c r="AH29" s="13" t="s">
        <v>20</v>
      </c>
      <c r="AI29" s="649" t="s">
        <v>4</v>
      </c>
      <c r="AJ29" s="650"/>
      <c r="AK29" s="651"/>
      <c r="AL29" s="13" t="s">
        <v>20</v>
      </c>
      <c r="AM29" s="649" t="s">
        <v>18</v>
      </c>
      <c r="AN29" s="650"/>
      <c r="AO29" s="651"/>
      <c r="AP29" s="10"/>
    </row>
    <row r="30" spans="1:83" customFormat="1" ht="19" thickTop="1">
      <c r="B30" s="8"/>
      <c r="C30" s="652"/>
      <c r="D30" s="652"/>
      <c r="E30" s="653"/>
      <c r="F30" s="653"/>
      <c r="G30" s="156"/>
      <c r="H30" s="158"/>
      <c r="I30" s="157"/>
      <c r="J30" s="158"/>
      <c r="K30" s="158"/>
      <c r="L30" s="158"/>
      <c r="M30" s="158"/>
      <c r="N30" s="203"/>
      <c r="O30" s="158"/>
      <c r="P30" s="158"/>
      <c r="Q30" s="203"/>
      <c r="R30" s="157"/>
      <c r="S30" s="157"/>
      <c r="T30" s="158"/>
      <c r="U30" s="158"/>
      <c r="V30" s="158"/>
      <c r="W30" s="158"/>
      <c r="X30" s="157"/>
      <c r="Y30" s="157"/>
      <c r="Z30" s="157"/>
      <c r="AA30" s="158"/>
      <c r="AB30" s="203"/>
      <c r="AC30" s="158"/>
      <c r="AD30" s="158"/>
      <c r="AE30" s="203"/>
      <c r="AF30" s="157"/>
      <c r="AG30" s="158"/>
      <c r="AH30" s="158"/>
      <c r="AI30" s="157"/>
      <c r="AJ30" s="158"/>
      <c r="AK30" s="158"/>
      <c r="AN30" s="9"/>
      <c r="AO30" s="11"/>
    </row>
    <row r="31" spans="1:83" s="11" customFormat="1" ht="18">
      <c r="A31" s="1"/>
      <c r="B31" s="652"/>
      <c r="C31" s="652"/>
      <c r="D31" s="652"/>
      <c r="E31" s="652"/>
      <c r="F31" s="653"/>
      <c r="G31" s="653"/>
      <c r="H31" s="156"/>
      <c r="I31" s="158"/>
      <c r="J31" s="157"/>
      <c r="K31" s="158"/>
      <c r="L31" s="158"/>
      <c r="M31" s="157"/>
      <c r="N31" s="157"/>
      <c r="O31" s="203"/>
      <c r="P31" s="158"/>
      <c r="Q31" s="157"/>
      <c r="R31" s="157"/>
      <c r="S31" s="158"/>
      <c r="T31" s="158"/>
      <c r="U31" s="218"/>
      <c r="V31" s="158"/>
      <c r="W31" s="158"/>
      <c r="X31" s="158"/>
      <c r="Y31" s="158"/>
      <c r="Z31" s="156"/>
      <c r="AA31" s="158"/>
      <c r="AB31" s="158"/>
      <c r="AC31" s="158"/>
      <c r="AD31" s="158"/>
      <c r="AE31" s="157"/>
      <c r="AF31" s="158"/>
      <c r="AG31" s="156"/>
      <c r="AH31" s="158"/>
      <c r="AI31" s="158"/>
      <c r="AJ31" s="158"/>
      <c r="AK31" s="158"/>
      <c r="AL31" s="156"/>
      <c r="AM31" s="160"/>
      <c r="AN31" s="160"/>
      <c r="AP31" s="12"/>
      <c r="AQ31" s="1"/>
      <c r="AR31" s="1"/>
      <c r="AS31" s="1"/>
      <c r="AT31" s="1"/>
    </row>
    <row r="32" spans="1:83" s="11" customFormat="1">
      <c r="A32" s="1"/>
      <c r="B32" s="1"/>
      <c r="C32" s="1"/>
      <c r="D32" s="1"/>
      <c r="E32" s="1"/>
      <c r="F32" s="1"/>
      <c r="G32"/>
      <c r="H32" s="1"/>
      <c r="I32" s="1"/>
      <c r="J32" s="8"/>
      <c r="K32" s="8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7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9"/>
      <c r="AP32" s="12"/>
      <c r="AQ32" s="1"/>
      <c r="AR32" s="1"/>
      <c r="AS32" s="1"/>
      <c r="AT32" s="1"/>
    </row>
    <row r="33" spans="1:46" s="11" customFormat="1" ht="18">
      <c r="A33" s="1"/>
      <c r="B33" s="1"/>
      <c r="C33" s="1"/>
      <c r="D33" s="1"/>
      <c r="E33" s="1"/>
      <c r="F33" s="1"/>
      <c r="G33" s="17"/>
      <c r="H33" s="17"/>
      <c r="I33" s="17"/>
      <c r="J33" s="17"/>
      <c r="K33" s="15"/>
      <c r="L33" s="17"/>
      <c r="M33" s="17"/>
      <c r="N33" s="17"/>
      <c r="O33" s="17"/>
      <c r="P33" s="17"/>
      <c r="Q33" s="17"/>
      <c r="R33" s="15"/>
      <c r="S33" s="17"/>
      <c r="T33" s="16"/>
      <c r="U33" s="16"/>
      <c r="V33" s="16"/>
      <c r="W33" s="16"/>
      <c r="X33" s="16"/>
      <c r="Y33" s="15"/>
      <c r="Z33" s="16"/>
      <c r="AA33" s="16"/>
      <c r="AB33" s="16"/>
      <c r="AC33" s="16"/>
      <c r="AD33" s="16"/>
      <c r="AE33" s="16"/>
      <c r="AF33" s="15" t="s">
        <v>41</v>
      </c>
      <c r="AG33" s="16"/>
      <c r="AH33" s="16"/>
      <c r="AI33" s="16"/>
      <c r="AJ33" s="16"/>
      <c r="AK33" s="16"/>
      <c r="AL33" s="1"/>
      <c r="AM33" s="1"/>
      <c r="AN33" s="9"/>
      <c r="AP33" s="12"/>
      <c r="AQ33" s="1"/>
      <c r="AR33" s="1"/>
      <c r="AS33" s="1"/>
      <c r="AT33" s="1"/>
    </row>
    <row r="34" spans="1:46" s="11" customFormat="1">
      <c r="A34" s="1"/>
      <c r="B34" s="1"/>
      <c r="C34" s="1"/>
      <c r="D34" s="1"/>
      <c r="E34" s="1"/>
      <c r="F34" s="1"/>
      <c r="G34"/>
      <c r="H34" s="1"/>
      <c r="I34" s="1"/>
      <c r="J34" s="8"/>
      <c r="K34" s="8"/>
      <c r="L34" s="1"/>
      <c r="M34" t="s">
        <v>27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7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9"/>
      <c r="AP34" s="12"/>
      <c r="AQ34" s="1"/>
      <c r="AR34" s="1"/>
      <c r="AS34" s="1"/>
      <c r="AT34" s="1"/>
    </row>
    <row r="35" spans="1:46" s="11" customFormat="1">
      <c r="A35" s="1"/>
      <c r="B35" s="1"/>
      <c r="C35" s="1"/>
      <c r="D35" s="1"/>
      <c r="E35" s="1"/>
      <c r="F35" s="1"/>
      <c r="G35"/>
      <c r="H35" s="1"/>
      <c r="I35" s="1"/>
      <c r="J35" s="8"/>
      <c r="K35" s="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7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9"/>
      <c r="AP35" s="12"/>
      <c r="AQ35" s="1"/>
      <c r="AR35" s="1"/>
      <c r="AS35" s="1"/>
      <c r="AT35" s="1"/>
    </row>
    <row r="36" spans="1:46" s="11" customFormat="1">
      <c r="A36" s="1"/>
      <c r="B36" s="1"/>
      <c r="C36" s="1"/>
      <c r="D36" s="1"/>
      <c r="E36" s="1"/>
      <c r="F36" s="1"/>
      <c r="G36"/>
      <c r="H36" s="1"/>
      <c r="I36" s="1"/>
      <c r="J36" s="8"/>
      <c r="K36" s="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7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9"/>
      <c r="AP36" s="12"/>
      <c r="AQ36" s="1"/>
      <c r="AR36" s="1"/>
      <c r="AS36" s="1"/>
      <c r="AT36" s="1"/>
    </row>
    <row r="37" spans="1:46" s="11" customFormat="1">
      <c r="A37" s="1"/>
      <c r="B37" s="1"/>
      <c r="C37" s="1"/>
      <c r="D37" s="1"/>
      <c r="E37" s="1"/>
      <c r="F37" s="1"/>
      <c r="G37"/>
      <c r="H37" s="1"/>
      <c r="I37" s="1"/>
      <c r="J37" s="8"/>
      <c r="K37" s="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7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9"/>
      <c r="AP37" s="12"/>
      <c r="AQ37" s="1"/>
      <c r="AR37" s="1"/>
      <c r="AS37" s="1"/>
      <c r="AT37" s="1"/>
    </row>
    <row r="38" spans="1:46" s="11" customFormat="1">
      <c r="A38" s="1"/>
      <c r="B38" s="1"/>
      <c r="C38" s="1"/>
      <c r="D38" s="1"/>
      <c r="E38" s="1"/>
      <c r="F38" s="1"/>
      <c r="G38"/>
      <c r="H38" s="1"/>
      <c r="I38" s="1"/>
      <c r="J38" s="8"/>
      <c r="K38" s="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7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9"/>
      <c r="AP38" s="12"/>
      <c r="AQ38" s="1"/>
      <c r="AR38" s="1"/>
      <c r="AS38" s="1"/>
      <c r="AT38" s="1"/>
    </row>
    <row r="39" spans="1:46" s="11" customFormat="1">
      <c r="A39" s="1"/>
      <c r="B39" s="1"/>
      <c r="C39" s="1"/>
      <c r="D39" s="1"/>
      <c r="E39" s="1"/>
      <c r="F39" s="1"/>
      <c r="G39"/>
      <c r="H39" s="1"/>
      <c r="I39" s="1"/>
      <c r="J39" s="8"/>
      <c r="K39" s="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7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9"/>
      <c r="AP39" s="12"/>
      <c r="AQ39" s="1"/>
      <c r="AR39" s="1"/>
      <c r="AS39" s="1"/>
      <c r="AT39" s="1"/>
    </row>
    <row r="40" spans="1:46" s="11" customFormat="1">
      <c r="A40" s="1"/>
      <c r="B40" s="1"/>
      <c r="C40" s="1"/>
      <c r="D40" s="1"/>
      <c r="E40" s="1"/>
      <c r="F40" s="1"/>
      <c r="G40"/>
      <c r="H40" s="1"/>
      <c r="I40" s="1"/>
      <c r="J40" s="8"/>
      <c r="K40" s="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7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9"/>
      <c r="AP40" s="12"/>
      <c r="AQ40" s="1"/>
      <c r="AR40" s="1"/>
      <c r="AS40" s="1"/>
      <c r="AT40" s="1"/>
    </row>
    <row r="41" spans="1:46" s="11" customFormat="1">
      <c r="A41" s="1"/>
      <c r="B41" s="1"/>
      <c r="C41" s="1"/>
      <c r="D41" s="1"/>
      <c r="E41" s="1"/>
      <c r="F41" s="1"/>
      <c r="G41"/>
      <c r="H41" s="1"/>
      <c r="I41" s="1"/>
      <c r="J41" s="8"/>
      <c r="K41" s="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7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9"/>
      <c r="AP41" s="12"/>
      <c r="AQ41" s="1"/>
      <c r="AR41" s="1"/>
      <c r="AS41" s="1"/>
      <c r="AT41" s="1"/>
    </row>
    <row r="42" spans="1:46" s="11" customFormat="1">
      <c r="A42" s="1"/>
      <c r="B42" s="1"/>
      <c r="C42" s="1"/>
      <c r="D42" s="1"/>
      <c r="E42" s="1"/>
      <c r="F42" s="1"/>
      <c r="G42"/>
      <c r="H42" s="1"/>
      <c r="I42" s="1"/>
      <c r="J42" s="8"/>
      <c r="K42" s="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7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9"/>
      <c r="AP42" s="12"/>
      <c r="AQ42" s="1"/>
      <c r="AR42" s="1"/>
      <c r="AS42" s="1"/>
      <c r="AT42" s="1"/>
    </row>
    <row r="43" spans="1:46" s="11" customFormat="1">
      <c r="A43" s="1"/>
      <c r="B43" s="1"/>
      <c r="C43" s="1"/>
      <c r="D43" s="1"/>
      <c r="E43" s="1"/>
      <c r="F43" s="1"/>
      <c r="G43"/>
      <c r="H43" s="1"/>
      <c r="I43" s="1"/>
      <c r="J43" s="8"/>
      <c r="K43" s="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7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9"/>
      <c r="AP43" s="12"/>
      <c r="AQ43" s="1"/>
      <c r="AR43" s="1"/>
      <c r="AS43" s="1"/>
      <c r="AT43" s="1"/>
    </row>
    <row r="44" spans="1:46" s="11" customFormat="1">
      <c r="A44" s="1"/>
      <c r="B44" s="1"/>
      <c r="C44" s="1"/>
      <c r="D44" s="1"/>
      <c r="E44" s="1"/>
      <c r="F44" s="1"/>
      <c r="G44"/>
      <c r="H44" s="1"/>
      <c r="I44" s="1"/>
      <c r="J44" s="8"/>
      <c r="K44" s="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7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9"/>
      <c r="AP44" s="12"/>
      <c r="AQ44" s="1"/>
      <c r="AR44" s="1"/>
      <c r="AS44" s="1"/>
      <c r="AT44" s="1"/>
    </row>
    <row r="45" spans="1:46" s="11" customFormat="1">
      <c r="A45" s="1"/>
      <c r="B45" s="1"/>
      <c r="C45" s="1"/>
      <c r="D45" s="1"/>
      <c r="E45" s="1"/>
      <c r="F45" s="1"/>
      <c r="G45"/>
      <c r="H45" s="1"/>
      <c r="I45" s="1"/>
      <c r="J45" s="8"/>
      <c r="K45" s="8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7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9"/>
      <c r="AP45" s="12"/>
      <c r="AQ45" s="1"/>
      <c r="AR45" s="1"/>
      <c r="AS45" s="1"/>
      <c r="AT45" s="1"/>
    </row>
    <row r="46" spans="1:46" s="11" customFormat="1">
      <c r="A46" s="1"/>
      <c r="B46" s="1"/>
      <c r="C46" s="1"/>
      <c r="D46" s="1"/>
      <c r="E46" s="1"/>
      <c r="F46" s="1"/>
      <c r="G46"/>
      <c r="H46" s="1"/>
      <c r="I46" s="1"/>
      <c r="J46" s="8"/>
      <c r="K46" s="8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7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9"/>
      <c r="AP46" s="12"/>
      <c r="AQ46" s="1"/>
      <c r="AR46" s="1"/>
      <c r="AS46" s="1"/>
      <c r="AT46" s="1"/>
    </row>
    <row r="47" spans="1:46">
      <c r="Y47" s="1"/>
      <c r="AD47" s="1"/>
    </row>
    <row r="48" spans="1:46" ht="40">
      <c r="R48" s="125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91" priority="11" operator="equal">
      <formula>8</formula>
    </cfRule>
    <cfRule type="cellIs" dxfId="90" priority="12" operator="equal">
      <formula>0</formula>
    </cfRule>
  </conditionalFormatting>
  <conditionalFormatting sqref="BZ20:BZ21">
    <cfRule type="cellIs" dxfId="89" priority="5" operator="equal">
      <formula>8</formula>
    </cfRule>
    <cfRule type="cellIs" dxfId="88" priority="6" operator="equal">
      <formula>0</formula>
    </cfRule>
  </conditionalFormatting>
  <conditionalFormatting sqref="CA19">
    <cfRule type="cellIs" dxfId="87" priority="1" operator="equal">
      <formula>8</formula>
    </cfRule>
    <cfRule type="cellIs" dxfId="86" priority="2" operator="equal">
      <formula>0</formula>
    </cfRule>
  </conditionalFormatting>
  <conditionalFormatting sqref="CA25">
    <cfRule type="cellIs" dxfId="85" priority="3" operator="equal">
      <formula>8</formula>
    </cfRule>
    <cfRule type="cellIs" dxfId="84" priority="4" operator="equal">
      <formula>0</formula>
    </cfRule>
  </conditionalFormatting>
  <conditionalFormatting sqref="CB24">
    <cfRule type="cellIs" dxfId="83" priority="7" operator="equal">
      <formula>8</formula>
    </cfRule>
    <cfRule type="cellIs" dxfId="82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2" sqref="A12:XFD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8" customWidth="1"/>
    <col min="12" max="24" width="3.6640625" style="1" customWidth="1"/>
    <col min="25" max="25" width="3.6640625" style="38" customWidth="1"/>
    <col min="26" max="28" width="3.6640625" style="1" customWidth="1"/>
    <col min="29" max="29" width="3.6640625" style="7" customWidth="1"/>
    <col min="30" max="30" width="3.6640625" style="41" customWidth="1"/>
    <col min="31" max="39" width="3.6640625" style="1" customWidth="1"/>
    <col min="40" max="40" width="8.6640625" style="9" customWidth="1"/>
    <col min="41" max="41" width="5.1640625" style="11" customWidth="1"/>
    <col min="42" max="42" width="9" style="12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18"/>
      <c r="B1" s="729" t="s">
        <v>493</v>
      </c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  <c r="AA1" s="729"/>
      <c r="AB1" s="729"/>
      <c r="AC1" s="729"/>
      <c r="AD1" s="729"/>
      <c r="AE1" s="729"/>
      <c r="AF1" s="729"/>
      <c r="AG1" s="729"/>
      <c r="AH1" s="729"/>
      <c r="AI1" s="729"/>
      <c r="AJ1" s="729"/>
      <c r="AK1" s="729"/>
      <c r="AL1" s="729"/>
      <c r="AM1" s="729"/>
      <c r="AN1" s="729"/>
      <c r="AO1" s="729"/>
    </row>
    <row r="2" spans="1:46" ht="22.5" customHeight="1">
      <c r="A2" s="1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29"/>
      <c r="AB2" s="729"/>
      <c r="AC2" s="729"/>
      <c r="AD2" s="729"/>
      <c r="AE2" s="729"/>
      <c r="AF2" s="729"/>
      <c r="AG2" s="729"/>
      <c r="AH2" s="729"/>
      <c r="AI2" s="729"/>
      <c r="AJ2" s="729"/>
      <c r="AK2" s="729"/>
      <c r="AL2" s="729"/>
      <c r="AM2" s="729"/>
      <c r="AN2" s="729"/>
      <c r="AO2" s="729"/>
    </row>
    <row r="3" spans="1:46" ht="22.5" customHeight="1">
      <c r="A3" s="18"/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R3" s="730"/>
      <c r="S3" s="730"/>
      <c r="T3" s="730"/>
      <c r="U3" s="730"/>
      <c r="V3" s="730"/>
      <c r="W3" s="730"/>
      <c r="X3" s="730"/>
      <c r="Y3" s="730"/>
      <c r="Z3" s="730"/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</row>
    <row r="4" spans="1:46" ht="25" customHeight="1">
      <c r="B4" s="731"/>
      <c r="C4" s="733" t="s">
        <v>6</v>
      </c>
      <c r="D4" s="734"/>
      <c r="E4" s="734"/>
      <c r="F4" s="735"/>
      <c r="G4" s="347">
        <v>1</v>
      </c>
      <c r="H4" s="127">
        <v>2</v>
      </c>
      <c r="I4" s="37">
        <v>3</v>
      </c>
      <c r="J4" s="37">
        <v>4</v>
      </c>
      <c r="K4" s="37">
        <v>5</v>
      </c>
      <c r="L4" s="37">
        <v>6</v>
      </c>
      <c r="M4" s="127">
        <v>7</v>
      </c>
      <c r="N4" s="51">
        <v>8</v>
      </c>
      <c r="O4" s="37">
        <v>9</v>
      </c>
      <c r="P4" s="37">
        <v>10</v>
      </c>
      <c r="Q4" s="37">
        <v>11</v>
      </c>
      <c r="R4" s="37">
        <v>12</v>
      </c>
      <c r="S4" s="37">
        <v>13</v>
      </c>
      <c r="T4" s="127">
        <v>14</v>
      </c>
      <c r="U4" s="51">
        <v>15</v>
      </c>
      <c r="V4" s="37">
        <v>16</v>
      </c>
      <c r="W4" s="37">
        <v>17</v>
      </c>
      <c r="X4" s="37">
        <v>18</v>
      </c>
      <c r="Y4" s="37">
        <v>19</v>
      </c>
      <c r="Z4" s="37">
        <v>20</v>
      </c>
      <c r="AA4" s="127">
        <v>21</v>
      </c>
      <c r="AB4" s="51">
        <v>22</v>
      </c>
      <c r="AC4" s="37">
        <v>23</v>
      </c>
      <c r="AD4" s="37">
        <v>24</v>
      </c>
      <c r="AE4" s="37">
        <v>25</v>
      </c>
      <c r="AF4" s="37">
        <v>26</v>
      </c>
      <c r="AG4" s="37">
        <v>27</v>
      </c>
      <c r="AH4" s="127">
        <v>28</v>
      </c>
      <c r="AI4" s="51">
        <v>29</v>
      </c>
      <c r="AJ4" s="37">
        <v>30</v>
      </c>
      <c r="AK4" s="309">
        <v>31</v>
      </c>
      <c r="AL4" s="736" t="s">
        <v>35</v>
      </c>
      <c r="AM4" s="737"/>
      <c r="AN4" s="737"/>
      <c r="AO4" s="738"/>
      <c r="AP4" s="10"/>
    </row>
    <row r="5" spans="1:46" ht="25" customHeight="1">
      <c r="B5" s="732"/>
      <c r="C5" s="739" t="s">
        <v>7</v>
      </c>
      <c r="D5" s="740"/>
      <c r="E5" s="741" t="s">
        <v>8</v>
      </c>
      <c r="F5" s="742"/>
      <c r="G5" s="232" t="s">
        <v>69</v>
      </c>
      <c r="H5" s="186" t="s">
        <v>70</v>
      </c>
      <c r="I5" s="185" t="s">
        <v>15</v>
      </c>
      <c r="J5" s="185" t="s">
        <v>9</v>
      </c>
      <c r="K5" s="185" t="s">
        <v>10</v>
      </c>
      <c r="L5" s="185" t="s">
        <v>11</v>
      </c>
      <c r="M5" s="186" t="s">
        <v>12</v>
      </c>
      <c r="N5" s="188" t="s">
        <v>13</v>
      </c>
      <c r="O5" s="185" t="s">
        <v>14</v>
      </c>
      <c r="P5" s="185" t="s">
        <v>15</v>
      </c>
      <c r="Q5" s="185" t="s">
        <v>9</v>
      </c>
      <c r="R5" s="185" t="s">
        <v>10</v>
      </c>
      <c r="S5" s="185" t="s">
        <v>11</v>
      </c>
      <c r="T5" s="186" t="s">
        <v>12</v>
      </c>
      <c r="U5" s="188" t="s">
        <v>13</v>
      </c>
      <c r="V5" s="185" t="s">
        <v>14</v>
      </c>
      <c r="W5" s="185" t="s">
        <v>15</v>
      </c>
      <c r="X5" s="185" t="s">
        <v>9</v>
      </c>
      <c r="Y5" s="185" t="s">
        <v>10</v>
      </c>
      <c r="Z5" s="185" t="s">
        <v>11</v>
      </c>
      <c r="AA5" s="186" t="s">
        <v>12</v>
      </c>
      <c r="AB5" s="188" t="s">
        <v>13</v>
      </c>
      <c r="AC5" s="185" t="s">
        <v>14</v>
      </c>
      <c r="AD5" s="185" t="s">
        <v>15</v>
      </c>
      <c r="AE5" s="185" t="s">
        <v>9</v>
      </c>
      <c r="AF5" s="185" t="s">
        <v>10</v>
      </c>
      <c r="AG5" s="185" t="s">
        <v>11</v>
      </c>
      <c r="AH5" s="186" t="s">
        <v>12</v>
      </c>
      <c r="AI5" s="188" t="s">
        <v>13</v>
      </c>
      <c r="AJ5" s="185" t="s">
        <v>14</v>
      </c>
      <c r="AK5" s="208" t="s">
        <v>15</v>
      </c>
      <c r="AL5" s="3" t="s">
        <v>0</v>
      </c>
      <c r="AM5" s="35" t="s">
        <v>2</v>
      </c>
      <c r="AN5" s="253" t="s">
        <v>1</v>
      </c>
      <c r="AO5" s="36" t="s">
        <v>16</v>
      </c>
      <c r="AP5" s="10"/>
    </row>
    <row r="6" spans="1:46" ht="22" customHeight="1">
      <c r="B6" s="353">
        <v>1</v>
      </c>
      <c r="C6" s="718" t="s">
        <v>191</v>
      </c>
      <c r="D6" s="719"/>
      <c r="E6" s="720" t="s">
        <v>34</v>
      </c>
      <c r="F6" s="721"/>
      <c r="G6" s="76" t="s">
        <v>502</v>
      </c>
      <c r="H6" s="264" t="s">
        <v>21</v>
      </c>
      <c r="I6" s="249" t="s">
        <v>529</v>
      </c>
      <c r="J6" s="39" t="s">
        <v>500</v>
      </c>
      <c r="K6" s="39" t="s">
        <v>500</v>
      </c>
      <c r="L6" s="39" t="s">
        <v>500</v>
      </c>
      <c r="M6" s="48" t="s">
        <v>21</v>
      </c>
      <c r="N6" s="75" t="s">
        <v>21</v>
      </c>
      <c r="O6" s="39" t="s">
        <v>503</v>
      </c>
      <c r="P6" s="39" t="s">
        <v>500</v>
      </c>
      <c r="Q6" s="39" t="s">
        <v>503</v>
      </c>
      <c r="R6" s="39" t="s">
        <v>503</v>
      </c>
      <c r="S6" s="39" t="s">
        <v>505</v>
      </c>
      <c r="T6" s="48" t="s">
        <v>21</v>
      </c>
      <c r="U6" s="75" t="s">
        <v>21</v>
      </c>
      <c r="V6" s="114" t="s">
        <v>1</v>
      </c>
      <c r="W6" s="114" t="s">
        <v>1</v>
      </c>
      <c r="X6" s="39" t="s">
        <v>500</v>
      </c>
      <c r="Y6" s="39" t="s">
        <v>505</v>
      </c>
      <c r="Z6" s="39" t="s">
        <v>503</v>
      </c>
      <c r="AA6" s="48" t="s">
        <v>21</v>
      </c>
      <c r="AB6" s="75" t="s">
        <v>21</v>
      </c>
      <c r="AC6" s="79" t="s">
        <v>500</v>
      </c>
      <c r="AD6" s="39" t="s">
        <v>2</v>
      </c>
      <c r="AE6" s="39" t="s">
        <v>500</v>
      </c>
      <c r="AF6" s="39" t="s">
        <v>500</v>
      </c>
      <c r="AG6" s="39" t="s">
        <v>505</v>
      </c>
      <c r="AH6" s="48" t="s">
        <v>21</v>
      </c>
      <c r="AI6" s="75" t="s">
        <v>21</v>
      </c>
      <c r="AJ6" s="39" t="s">
        <v>500</v>
      </c>
      <c r="AK6" s="88" t="s">
        <v>500</v>
      </c>
      <c r="AL6" s="55">
        <f t="shared" ref="AL6:AL26" si="0">COUNTIF(G6:AK6,"▲")</f>
        <v>0</v>
      </c>
      <c r="AM6" s="21">
        <f t="shared" ref="AM6:AM26" si="1">COUNTIF(G6:AK6,"D")</f>
        <v>19</v>
      </c>
      <c r="AN6" s="22">
        <f t="shared" ref="AN6:AN26" si="2">COUNTIF(G6:AK6,"●")</f>
        <v>12</v>
      </c>
      <c r="AO6" s="27">
        <f t="shared" ref="AO6:AO26" si="3">AN6+AL6</f>
        <v>12</v>
      </c>
      <c r="AP6" s="10"/>
    </row>
    <row r="7" spans="1:46" ht="21.75" customHeight="1">
      <c r="B7" s="54">
        <v>2</v>
      </c>
      <c r="C7" s="710" t="s">
        <v>22</v>
      </c>
      <c r="D7" s="722"/>
      <c r="E7" s="723" t="s">
        <v>23</v>
      </c>
      <c r="F7" s="724"/>
      <c r="G7" s="100" t="s">
        <v>21</v>
      </c>
      <c r="H7" s="93" t="s">
        <v>497</v>
      </c>
      <c r="I7" s="522" t="s">
        <v>530</v>
      </c>
      <c r="J7" s="93" t="s">
        <v>533</v>
      </c>
      <c r="K7" s="196" t="s">
        <v>40</v>
      </c>
      <c r="L7" s="93" t="s">
        <v>506</v>
      </c>
      <c r="M7" s="141" t="s">
        <v>21</v>
      </c>
      <c r="N7" s="93" t="s">
        <v>21</v>
      </c>
      <c r="O7" s="43" t="s">
        <v>500</v>
      </c>
      <c r="P7" s="43" t="s">
        <v>506</v>
      </c>
      <c r="Q7" s="93" t="s">
        <v>506</v>
      </c>
      <c r="R7" s="93" t="s">
        <v>506</v>
      </c>
      <c r="S7" s="141" t="s">
        <v>21</v>
      </c>
      <c r="T7" s="43" t="s">
        <v>509</v>
      </c>
      <c r="U7" s="93" t="s">
        <v>21</v>
      </c>
      <c r="V7" s="43" t="s">
        <v>509</v>
      </c>
      <c r="W7" s="93" t="s">
        <v>506</v>
      </c>
      <c r="X7" s="141" t="s">
        <v>79</v>
      </c>
      <c r="Y7" s="93" t="s">
        <v>506</v>
      </c>
      <c r="Z7" s="93" t="s">
        <v>506</v>
      </c>
      <c r="AA7" s="141" t="s">
        <v>502</v>
      </c>
      <c r="AB7" s="93" t="s">
        <v>21</v>
      </c>
      <c r="AC7" s="168" t="s">
        <v>506</v>
      </c>
      <c r="AD7" s="43" t="s">
        <v>506</v>
      </c>
      <c r="AE7" s="93" t="s">
        <v>506</v>
      </c>
      <c r="AF7" s="43" t="s">
        <v>510</v>
      </c>
      <c r="AG7" s="196" t="s">
        <v>553</v>
      </c>
      <c r="AH7" s="50" t="s">
        <v>21</v>
      </c>
      <c r="AI7" s="93" t="s">
        <v>21</v>
      </c>
      <c r="AJ7" s="196" t="s">
        <v>40</v>
      </c>
      <c r="AK7" s="132" t="s">
        <v>506</v>
      </c>
      <c r="AL7" s="221">
        <f t="shared" si="0"/>
        <v>3</v>
      </c>
      <c r="AM7" s="260">
        <f t="shared" si="1"/>
        <v>18</v>
      </c>
      <c r="AN7" s="32">
        <f t="shared" si="2"/>
        <v>10</v>
      </c>
      <c r="AO7" s="167">
        <f t="shared" si="3"/>
        <v>13</v>
      </c>
      <c r="AP7" s="10"/>
      <c r="AQ7"/>
      <c r="AT7"/>
    </row>
    <row r="8" spans="1:46" ht="22" customHeight="1">
      <c r="B8" s="353">
        <v>3</v>
      </c>
      <c r="C8" s="725" t="s">
        <v>36</v>
      </c>
      <c r="D8" s="726"/>
      <c r="E8" s="727" t="s">
        <v>37</v>
      </c>
      <c r="F8" s="728"/>
      <c r="G8" s="76" t="s">
        <v>21</v>
      </c>
      <c r="H8" s="75" t="s">
        <v>506</v>
      </c>
      <c r="I8" s="254" t="s">
        <v>533</v>
      </c>
      <c r="J8" s="71" t="s">
        <v>506</v>
      </c>
      <c r="K8" s="233" t="s">
        <v>513</v>
      </c>
      <c r="L8" s="71" t="s">
        <v>507</v>
      </c>
      <c r="M8" s="71" t="s">
        <v>503</v>
      </c>
      <c r="N8" s="75" t="s">
        <v>21</v>
      </c>
      <c r="O8" s="71" t="s">
        <v>500</v>
      </c>
      <c r="P8" s="233" t="s">
        <v>528</v>
      </c>
      <c r="Q8" s="71" t="s">
        <v>507</v>
      </c>
      <c r="R8" s="233" t="s">
        <v>513</v>
      </c>
      <c r="S8" s="75" t="s">
        <v>506</v>
      </c>
      <c r="T8" s="75" t="s">
        <v>503</v>
      </c>
      <c r="U8" s="75" t="s">
        <v>21</v>
      </c>
      <c r="V8" s="75" t="s">
        <v>506</v>
      </c>
      <c r="W8" s="239" t="s">
        <v>563</v>
      </c>
      <c r="X8" s="71" t="s">
        <v>522</v>
      </c>
      <c r="Y8" s="71" t="s">
        <v>2</v>
      </c>
      <c r="Z8" s="233" t="s">
        <v>1</v>
      </c>
      <c r="AA8" s="71" t="s">
        <v>500</v>
      </c>
      <c r="AB8" s="75" t="s">
        <v>21</v>
      </c>
      <c r="AC8" s="257" t="s">
        <v>53</v>
      </c>
      <c r="AD8" s="257" t="s">
        <v>506</v>
      </c>
      <c r="AE8" s="71" t="s">
        <v>506</v>
      </c>
      <c r="AF8" s="233" t="s">
        <v>43</v>
      </c>
      <c r="AG8" s="75" t="s">
        <v>507</v>
      </c>
      <c r="AH8" s="71" t="s">
        <v>503</v>
      </c>
      <c r="AI8" s="75" t="s">
        <v>21</v>
      </c>
      <c r="AJ8" s="257" t="s">
        <v>507</v>
      </c>
      <c r="AK8" s="239" t="s">
        <v>40</v>
      </c>
      <c r="AL8" s="124">
        <f t="shared" si="0"/>
        <v>2</v>
      </c>
      <c r="AM8" s="33">
        <f t="shared" si="1"/>
        <v>19</v>
      </c>
      <c r="AN8" s="22">
        <f t="shared" si="2"/>
        <v>10</v>
      </c>
      <c r="AO8" s="27">
        <f t="shared" si="3"/>
        <v>12</v>
      </c>
      <c r="AP8" s="10"/>
      <c r="AR8"/>
    </row>
    <row r="9" spans="1:46" ht="22" hidden="1" customHeight="1">
      <c r="A9" s="701"/>
      <c r="B9" s="20">
        <v>4</v>
      </c>
      <c r="C9" s="781"/>
      <c r="D9" s="782"/>
      <c r="E9" s="704"/>
      <c r="F9" s="705"/>
      <c r="G9" s="70" t="s">
        <v>1</v>
      </c>
      <c r="H9" s="388"/>
      <c r="I9" s="57"/>
      <c r="J9" s="59"/>
      <c r="K9" s="59"/>
      <c r="L9" s="59"/>
      <c r="M9" s="59"/>
      <c r="N9" s="40" t="s">
        <v>1</v>
      </c>
      <c r="O9" s="59"/>
      <c r="P9" s="91"/>
      <c r="Q9" s="59"/>
      <c r="R9" s="59"/>
      <c r="S9" s="40"/>
      <c r="T9" s="59"/>
      <c r="U9" s="40" t="s">
        <v>1</v>
      </c>
      <c r="V9" s="40"/>
      <c r="W9" s="59"/>
      <c r="X9" s="59"/>
      <c r="Y9" s="59"/>
      <c r="Z9" s="40"/>
      <c r="AA9" s="59"/>
      <c r="AB9" s="40" t="s">
        <v>1</v>
      </c>
      <c r="AC9" s="89"/>
      <c r="AD9" s="59"/>
      <c r="AE9" s="59"/>
      <c r="AF9" s="59"/>
      <c r="AG9" s="57"/>
      <c r="AH9" s="59"/>
      <c r="AI9" s="40" t="s">
        <v>1</v>
      </c>
      <c r="AJ9" s="59"/>
      <c r="AK9" s="65"/>
      <c r="AL9" s="30">
        <f t="shared" si="0"/>
        <v>0</v>
      </c>
      <c r="AM9" s="25">
        <f t="shared" si="1"/>
        <v>0</v>
      </c>
      <c r="AN9" s="26">
        <f t="shared" si="2"/>
        <v>5</v>
      </c>
      <c r="AO9" s="29"/>
      <c r="AP9" s="10"/>
      <c r="AR9" t="s">
        <v>168</v>
      </c>
      <c r="AS9" t="s">
        <v>169</v>
      </c>
      <c r="AT9" t="s">
        <v>170</v>
      </c>
    </row>
    <row r="10" spans="1:46" ht="22" customHeight="1">
      <c r="A10" s="701"/>
      <c r="B10" s="20">
        <v>4</v>
      </c>
      <c r="C10" s="702" t="s">
        <v>46</v>
      </c>
      <c r="D10" s="703"/>
      <c r="E10" s="704" t="s">
        <v>24</v>
      </c>
      <c r="F10" s="705"/>
      <c r="G10" s="58" t="s">
        <v>21</v>
      </c>
      <c r="H10" s="40" t="s">
        <v>500</v>
      </c>
      <c r="I10" s="114" t="s">
        <v>43</v>
      </c>
      <c r="J10" s="40" t="s">
        <v>506</v>
      </c>
      <c r="K10" s="40" t="s">
        <v>500</v>
      </c>
      <c r="L10" s="59" t="s">
        <v>500</v>
      </c>
      <c r="M10" s="114" t="s">
        <v>502</v>
      </c>
      <c r="N10" s="59" t="s">
        <v>21</v>
      </c>
      <c r="O10" s="40" t="s">
        <v>503</v>
      </c>
      <c r="P10" s="40" t="s">
        <v>506</v>
      </c>
      <c r="Q10" s="57" t="s">
        <v>21</v>
      </c>
      <c r="R10" s="40" t="s">
        <v>137</v>
      </c>
      <c r="S10" s="40" t="s">
        <v>71</v>
      </c>
      <c r="T10" s="40" t="s">
        <v>500</v>
      </c>
      <c r="U10" s="59" t="s">
        <v>21</v>
      </c>
      <c r="V10" s="40" t="s">
        <v>2</v>
      </c>
      <c r="W10" s="40" t="s">
        <v>506</v>
      </c>
      <c r="X10" s="40" t="s">
        <v>506</v>
      </c>
      <c r="Y10" s="40" t="s">
        <v>506</v>
      </c>
      <c r="Z10" s="40" t="s">
        <v>507</v>
      </c>
      <c r="AA10" s="114" t="s">
        <v>527</v>
      </c>
      <c r="AB10" s="59" t="s">
        <v>21</v>
      </c>
      <c r="AC10" s="91" t="s">
        <v>40</v>
      </c>
      <c r="AD10" s="59" t="s">
        <v>2</v>
      </c>
      <c r="AE10" s="40" t="s">
        <v>506</v>
      </c>
      <c r="AF10" s="40" t="s">
        <v>53</v>
      </c>
      <c r="AG10" s="40" t="s">
        <v>161</v>
      </c>
      <c r="AH10" s="40" t="s">
        <v>125</v>
      </c>
      <c r="AI10" s="59" t="s">
        <v>21</v>
      </c>
      <c r="AJ10" s="114" t="s">
        <v>140</v>
      </c>
      <c r="AK10" s="528" t="s">
        <v>525</v>
      </c>
      <c r="AL10" s="30">
        <f t="shared" si="0"/>
        <v>1</v>
      </c>
      <c r="AM10" s="25">
        <f t="shared" si="1"/>
        <v>20</v>
      </c>
      <c r="AN10" s="26">
        <f t="shared" si="2"/>
        <v>10</v>
      </c>
      <c r="AO10" s="29">
        <f t="shared" si="3"/>
        <v>11</v>
      </c>
      <c r="AP10" s="10">
        <v>3</v>
      </c>
      <c r="AQ10"/>
      <c r="AR10"/>
      <c r="AS10"/>
      <c r="AT10"/>
    </row>
    <row r="11" spans="1:46" ht="22" customHeight="1">
      <c r="A11" s="701"/>
      <c r="B11" s="20">
        <v>5</v>
      </c>
      <c r="C11" s="706" t="s">
        <v>167</v>
      </c>
      <c r="D11" s="707"/>
      <c r="E11" s="698" t="s">
        <v>24</v>
      </c>
      <c r="F11" s="699"/>
      <c r="G11" s="58" t="s">
        <v>21</v>
      </c>
      <c r="H11" s="40" t="s">
        <v>500</v>
      </c>
      <c r="I11" s="255" t="s">
        <v>534</v>
      </c>
      <c r="J11" s="59" t="s">
        <v>507</v>
      </c>
      <c r="K11" s="40" t="s">
        <v>506</v>
      </c>
      <c r="L11" s="114" t="s">
        <v>43</v>
      </c>
      <c r="M11" s="71" t="s">
        <v>500</v>
      </c>
      <c r="N11" s="59" t="s">
        <v>21</v>
      </c>
      <c r="O11" s="114" t="s">
        <v>115</v>
      </c>
      <c r="P11" s="59" t="s">
        <v>506</v>
      </c>
      <c r="Q11" s="40" t="s">
        <v>507</v>
      </c>
      <c r="R11" s="40" t="s">
        <v>506</v>
      </c>
      <c r="S11" s="40" t="s">
        <v>507</v>
      </c>
      <c r="T11" s="153" t="s">
        <v>502</v>
      </c>
      <c r="U11" s="59" t="s">
        <v>21</v>
      </c>
      <c r="V11" s="91" t="s">
        <v>40</v>
      </c>
      <c r="W11" s="59" t="s">
        <v>506</v>
      </c>
      <c r="X11" s="40" t="s">
        <v>506</v>
      </c>
      <c r="Y11" s="40" t="s">
        <v>506</v>
      </c>
      <c r="Z11" s="40" t="s">
        <v>506</v>
      </c>
      <c r="AA11" s="114" t="s">
        <v>502</v>
      </c>
      <c r="AB11" s="59" t="s">
        <v>21</v>
      </c>
      <c r="AC11" s="40" t="s">
        <v>507</v>
      </c>
      <c r="AD11" s="40" t="s">
        <v>507</v>
      </c>
      <c r="AE11" s="114" t="s">
        <v>115</v>
      </c>
      <c r="AF11" s="59" t="s">
        <v>517</v>
      </c>
      <c r="AG11" s="40" t="s">
        <v>507</v>
      </c>
      <c r="AH11" s="91" t="s">
        <v>40</v>
      </c>
      <c r="AI11" s="59" t="s">
        <v>21</v>
      </c>
      <c r="AJ11" s="40" t="s">
        <v>559</v>
      </c>
      <c r="AK11" s="40" t="s">
        <v>506</v>
      </c>
      <c r="AL11" s="30">
        <f t="shared" si="0"/>
        <v>2</v>
      </c>
      <c r="AM11" s="25">
        <f t="shared" si="1"/>
        <v>19</v>
      </c>
      <c r="AN11" s="34">
        <f t="shared" si="2"/>
        <v>10</v>
      </c>
      <c r="AO11" s="29">
        <f t="shared" si="3"/>
        <v>12</v>
      </c>
      <c r="AP11" s="238">
        <v>5</v>
      </c>
      <c r="AR11"/>
    </row>
    <row r="12" spans="1:46" ht="22" customHeight="1">
      <c r="A12" s="701"/>
      <c r="B12" s="20">
        <v>6</v>
      </c>
      <c r="C12" s="708" t="s">
        <v>372</v>
      </c>
      <c r="D12" s="709"/>
      <c r="E12" s="673" t="s">
        <v>32</v>
      </c>
      <c r="F12" s="674"/>
      <c r="G12" s="70" t="s">
        <v>1</v>
      </c>
      <c r="H12" s="40" t="s">
        <v>500</v>
      </c>
      <c r="I12" s="523" t="s">
        <v>533</v>
      </c>
      <c r="J12" s="59" t="s">
        <v>506</v>
      </c>
      <c r="K12" s="59" t="s">
        <v>506</v>
      </c>
      <c r="L12" s="59" t="s">
        <v>506</v>
      </c>
      <c r="M12" s="114" t="s">
        <v>502</v>
      </c>
      <c r="N12" s="40" t="s">
        <v>1</v>
      </c>
      <c r="O12" s="59" t="s">
        <v>500</v>
      </c>
      <c r="P12" s="59" t="s">
        <v>507</v>
      </c>
      <c r="Q12" s="40" t="s">
        <v>2</v>
      </c>
      <c r="R12" s="40" t="s">
        <v>506</v>
      </c>
      <c r="S12" s="107" t="s">
        <v>89</v>
      </c>
      <c r="T12" s="114" t="s">
        <v>502</v>
      </c>
      <c r="U12" s="40" t="s">
        <v>1</v>
      </c>
      <c r="V12" s="40" t="s">
        <v>507</v>
      </c>
      <c r="W12" s="59" t="s">
        <v>506</v>
      </c>
      <c r="X12" s="107" t="s">
        <v>89</v>
      </c>
      <c r="Y12" s="40" t="s">
        <v>506</v>
      </c>
      <c r="Z12" s="114" t="s">
        <v>1</v>
      </c>
      <c r="AA12" s="59" t="s">
        <v>500</v>
      </c>
      <c r="AB12" s="40" t="s">
        <v>1</v>
      </c>
      <c r="AC12" s="40" t="s">
        <v>506</v>
      </c>
      <c r="AD12" s="40" t="s">
        <v>2</v>
      </c>
      <c r="AE12" s="59" t="s">
        <v>517</v>
      </c>
      <c r="AF12" s="59" t="s">
        <v>506</v>
      </c>
      <c r="AG12" s="40" t="s">
        <v>506</v>
      </c>
      <c r="AH12" s="114" t="s">
        <v>502</v>
      </c>
      <c r="AI12" s="40" t="s">
        <v>1</v>
      </c>
      <c r="AJ12" s="40" t="s">
        <v>506</v>
      </c>
      <c r="AK12" s="222" t="s">
        <v>19</v>
      </c>
      <c r="AL12" s="30">
        <f t="shared" si="0"/>
        <v>0</v>
      </c>
      <c r="AM12" s="25">
        <f t="shared" si="1"/>
        <v>19</v>
      </c>
      <c r="AN12" s="34">
        <v>10</v>
      </c>
      <c r="AO12" s="29">
        <f t="shared" si="3"/>
        <v>10</v>
      </c>
      <c r="AP12" s="409">
        <v>4</v>
      </c>
      <c r="AS12"/>
      <c r="AT12"/>
    </row>
    <row r="13" spans="1:46" ht="22" customHeight="1" thickBot="1">
      <c r="A13" s="701"/>
      <c r="B13" s="54">
        <v>7</v>
      </c>
      <c r="C13" s="710" t="s">
        <v>29</v>
      </c>
      <c r="D13" s="711"/>
      <c r="E13" s="712" t="s">
        <v>28</v>
      </c>
      <c r="F13" s="713"/>
      <c r="G13" s="142" t="s">
        <v>21</v>
      </c>
      <c r="H13" s="237" t="s">
        <v>21</v>
      </c>
      <c r="I13" s="530" t="s">
        <v>535</v>
      </c>
      <c r="J13" s="43" t="s">
        <v>506</v>
      </c>
      <c r="K13" s="43" t="s">
        <v>506</v>
      </c>
      <c r="L13" s="43" t="s">
        <v>506</v>
      </c>
      <c r="M13" s="50" t="s">
        <v>21</v>
      </c>
      <c r="N13" s="93" t="s">
        <v>21</v>
      </c>
      <c r="O13" s="43" t="s">
        <v>503</v>
      </c>
      <c r="P13" s="43" t="s">
        <v>506</v>
      </c>
      <c r="Q13" s="43" t="s">
        <v>506</v>
      </c>
      <c r="R13" s="43" t="s">
        <v>506</v>
      </c>
      <c r="S13" s="43" t="s">
        <v>506</v>
      </c>
      <c r="T13" s="50" t="s">
        <v>21</v>
      </c>
      <c r="U13" s="93" t="s">
        <v>21</v>
      </c>
      <c r="V13" s="44" t="s">
        <v>506</v>
      </c>
      <c r="W13" s="44" t="s">
        <v>506</v>
      </c>
      <c r="X13" s="44" t="s">
        <v>506</v>
      </c>
      <c r="Y13" s="44" t="s">
        <v>506</v>
      </c>
      <c r="Z13" s="44" t="s">
        <v>507</v>
      </c>
      <c r="AA13" s="83" t="s">
        <v>21</v>
      </c>
      <c r="AB13" s="93" t="s">
        <v>21</v>
      </c>
      <c r="AC13" s="109" t="s">
        <v>506</v>
      </c>
      <c r="AD13" s="43" t="s">
        <v>506</v>
      </c>
      <c r="AE13" s="43" t="s">
        <v>506</v>
      </c>
      <c r="AF13" s="43" t="s">
        <v>517</v>
      </c>
      <c r="AG13" s="43" t="s">
        <v>506</v>
      </c>
      <c r="AH13" s="50" t="s">
        <v>21</v>
      </c>
      <c r="AI13" s="43" t="s">
        <v>21</v>
      </c>
      <c r="AJ13" s="44" t="s">
        <v>507</v>
      </c>
      <c r="AK13" s="176" t="s">
        <v>506</v>
      </c>
      <c r="AL13" s="221">
        <f t="shared" si="0"/>
        <v>0</v>
      </c>
      <c r="AM13" s="260">
        <f t="shared" si="1"/>
        <v>21</v>
      </c>
      <c r="AN13" s="34">
        <f t="shared" si="2"/>
        <v>10</v>
      </c>
      <c r="AO13" s="167">
        <f t="shared" si="3"/>
        <v>10</v>
      </c>
      <c r="AP13" s="10"/>
    </row>
    <row r="14" spans="1:46" ht="22" customHeight="1">
      <c r="A14" s="701"/>
      <c r="B14" s="353">
        <v>8</v>
      </c>
      <c r="C14" s="714" t="s">
        <v>25</v>
      </c>
      <c r="D14" s="715"/>
      <c r="E14" s="785" t="s">
        <v>30</v>
      </c>
      <c r="F14" s="771"/>
      <c r="G14" s="76" t="s">
        <v>21</v>
      </c>
      <c r="H14" s="39" t="s">
        <v>503</v>
      </c>
      <c r="I14" s="249" t="s">
        <v>534</v>
      </c>
      <c r="J14" s="114" t="s">
        <v>21</v>
      </c>
      <c r="K14" s="39" t="s">
        <v>507</v>
      </c>
      <c r="L14" s="39" t="s">
        <v>506</v>
      </c>
      <c r="M14" s="75" t="s">
        <v>2</v>
      </c>
      <c r="N14" s="75" t="s">
        <v>21</v>
      </c>
      <c r="O14" s="39" t="s">
        <v>503</v>
      </c>
      <c r="P14" s="59" t="s">
        <v>506</v>
      </c>
      <c r="Q14" s="39" t="s">
        <v>506</v>
      </c>
      <c r="R14" s="75" t="s">
        <v>506</v>
      </c>
      <c r="S14" s="39" t="s">
        <v>506</v>
      </c>
      <c r="T14" s="114" t="s">
        <v>21</v>
      </c>
      <c r="U14" s="335" t="s">
        <v>21</v>
      </c>
      <c r="V14" s="270" t="s">
        <v>86</v>
      </c>
      <c r="W14" s="319" t="s">
        <v>21</v>
      </c>
      <c r="X14" s="81" t="s">
        <v>506</v>
      </c>
      <c r="Y14" s="81" t="s">
        <v>506</v>
      </c>
      <c r="Z14" s="81" t="s">
        <v>506</v>
      </c>
      <c r="AA14" s="316" t="s">
        <v>21</v>
      </c>
      <c r="AB14" s="78" t="s">
        <v>21</v>
      </c>
      <c r="AC14" s="144" t="s">
        <v>506</v>
      </c>
      <c r="AD14" s="39" t="s">
        <v>506</v>
      </c>
      <c r="AE14" s="114" t="s">
        <v>21</v>
      </c>
      <c r="AF14" s="39" t="s">
        <v>506</v>
      </c>
      <c r="AG14" s="39" t="s">
        <v>506</v>
      </c>
      <c r="AH14" s="53" t="s">
        <v>500</v>
      </c>
      <c r="AI14" s="75" t="s">
        <v>21</v>
      </c>
      <c r="AJ14" s="39" t="s">
        <v>507</v>
      </c>
      <c r="AK14" s="259" t="s">
        <v>506</v>
      </c>
      <c r="AL14" s="267">
        <f t="shared" si="0"/>
        <v>0</v>
      </c>
      <c r="AM14" s="21">
        <f t="shared" si="1"/>
        <v>21</v>
      </c>
      <c r="AN14" s="22">
        <f t="shared" si="2"/>
        <v>10</v>
      </c>
      <c r="AO14" s="27">
        <f t="shared" si="3"/>
        <v>10</v>
      </c>
      <c r="AP14" s="238" t="s">
        <v>511</v>
      </c>
      <c r="AQ14" s="470"/>
      <c r="AR14" s="700"/>
      <c r="AS14" s="700"/>
      <c r="AT14"/>
    </row>
    <row r="15" spans="1:46" ht="21.75" customHeight="1">
      <c r="A15" s="19" t="s">
        <v>80</v>
      </c>
      <c r="B15" s="301">
        <v>9</v>
      </c>
      <c r="C15" s="684" t="s">
        <v>49</v>
      </c>
      <c r="D15" s="685"/>
      <c r="E15" s="698" t="s">
        <v>31</v>
      </c>
      <c r="F15" s="699"/>
      <c r="G15" s="70" t="s">
        <v>21</v>
      </c>
      <c r="H15" s="383" t="s">
        <v>21</v>
      </c>
      <c r="I15" s="255" t="s">
        <v>535</v>
      </c>
      <c r="J15" s="59" t="s">
        <v>506</v>
      </c>
      <c r="K15" s="59" t="s">
        <v>506</v>
      </c>
      <c r="L15" s="59" t="s">
        <v>508</v>
      </c>
      <c r="M15" s="153" t="s">
        <v>108</v>
      </c>
      <c r="N15" s="40" t="s">
        <v>21</v>
      </c>
      <c r="O15" s="59" t="s">
        <v>500</v>
      </c>
      <c r="P15" s="114" t="s">
        <v>21</v>
      </c>
      <c r="Q15" s="59" t="s">
        <v>506</v>
      </c>
      <c r="R15" s="59" t="s">
        <v>506</v>
      </c>
      <c r="S15" s="40" t="s">
        <v>508</v>
      </c>
      <c r="T15" s="59" t="s">
        <v>507</v>
      </c>
      <c r="U15" s="68" t="s">
        <v>21</v>
      </c>
      <c r="V15" s="280" t="s">
        <v>2</v>
      </c>
      <c r="W15" s="59" t="s">
        <v>507</v>
      </c>
      <c r="X15" s="59" t="s">
        <v>507</v>
      </c>
      <c r="Y15" s="40" t="s">
        <v>506</v>
      </c>
      <c r="Z15" s="40" t="s">
        <v>506</v>
      </c>
      <c r="AA15" s="318" t="s">
        <v>21</v>
      </c>
      <c r="AB15" s="64" t="s">
        <v>21</v>
      </c>
      <c r="AC15" s="59" t="s">
        <v>507</v>
      </c>
      <c r="AD15" s="40" t="s">
        <v>506</v>
      </c>
      <c r="AE15" s="59" t="s">
        <v>506</v>
      </c>
      <c r="AF15" s="114" t="s">
        <v>21</v>
      </c>
      <c r="AG15" s="68" t="s">
        <v>506</v>
      </c>
      <c r="AH15" s="222" t="s">
        <v>19</v>
      </c>
      <c r="AI15" s="64" t="s">
        <v>21</v>
      </c>
      <c r="AJ15" s="59" t="s">
        <v>506</v>
      </c>
      <c r="AK15" s="147" t="s">
        <v>506</v>
      </c>
      <c r="AL15" s="268">
        <f t="shared" si="0"/>
        <v>0</v>
      </c>
      <c r="AM15" s="25">
        <f t="shared" si="1"/>
        <v>20</v>
      </c>
      <c r="AN15" s="26">
        <f t="shared" si="2"/>
        <v>10</v>
      </c>
      <c r="AO15" s="29">
        <f t="shared" si="3"/>
        <v>10</v>
      </c>
      <c r="AP15" s="10">
        <v>1</v>
      </c>
      <c r="AQ15"/>
      <c r="AR15" s="96"/>
      <c r="AS15" s="96"/>
    </row>
    <row r="16" spans="1:46" ht="21.75" customHeight="1">
      <c r="A16" s="19"/>
      <c r="B16" s="301">
        <v>10</v>
      </c>
      <c r="C16" s="684" t="s">
        <v>114</v>
      </c>
      <c r="D16" s="685"/>
      <c r="E16" s="698" t="s">
        <v>31</v>
      </c>
      <c r="F16" s="699"/>
      <c r="G16" s="58" t="s">
        <v>21</v>
      </c>
      <c r="H16" s="40" t="s">
        <v>503</v>
      </c>
      <c r="I16" s="255" t="s">
        <v>533</v>
      </c>
      <c r="J16" s="40" t="s">
        <v>507</v>
      </c>
      <c r="K16" s="111" t="s">
        <v>40</v>
      </c>
      <c r="L16" s="153" t="s">
        <v>21</v>
      </c>
      <c r="M16" s="153" t="s">
        <v>21</v>
      </c>
      <c r="N16" s="59" t="s">
        <v>21</v>
      </c>
      <c r="O16" s="114" t="s">
        <v>21</v>
      </c>
      <c r="P16" s="40" t="s">
        <v>506</v>
      </c>
      <c r="Q16" s="40" t="s">
        <v>506</v>
      </c>
      <c r="R16" s="59" t="s">
        <v>506</v>
      </c>
      <c r="S16" s="40" t="s">
        <v>507</v>
      </c>
      <c r="T16" s="114" t="s">
        <v>21</v>
      </c>
      <c r="U16" s="89" t="s">
        <v>21</v>
      </c>
      <c r="V16" s="285" t="s">
        <v>506</v>
      </c>
      <c r="W16" s="40" t="s">
        <v>506</v>
      </c>
      <c r="X16" s="111" t="s">
        <v>514</v>
      </c>
      <c r="Y16" s="59" t="s">
        <v>506</v>
      </c>
      <c r="Z16" s="40" t="s">
        <v>507</v>
      </c>
      <c r="AA16" s="313" t="s">
        <v>500</v>
      </c>
      <c r="AB16" s="47" t="s">
        <v>21</v>
      </c>
      <c r="AC16" s="111" t="s">
        <v>139</v>
      </c>
      <c r="AD16" s="40" t="s">
        <v>507</v>
      </c>
      <c r="AE16" s="40" t="s">
        <v>507</v>
      </c>
      <c r="AF16" s="40" t="s">
        <v>507</v>
      </c>
      <c r="AG16" s="68" t="s">
        <v>507</v>
      </c>
      <c r="AH16" s="114" t="s">
        <v>21</v>
      </c>
      <c r="AI16" s="47" t="s">
        <v>21</v>
      </c>
      <c r="AJ16" s="40" t="s">
        <v>506</v>
      </c>
      <c r="AK16" s="65" t="s">
        <v>507</v>
      </c>
      <c r="AL16" s="268">
        <f t="shared" si="0"/>
        <v>3</v>
      </c>
      <c r="AM16" s="25">
        <f t="shared" si="1"/>
        <v>18</v>
      </c>
      <c r="AN16" s="26">
        <f t="shared" si="2"/>
        <v>10</v>
      </c>
      <c r="AO16" s="29">
        <f t="shared" si="3"/>
        <v>13</v>
      </c>
      <c r="AP16" s="10">
        <v>5</v>
      </c>
      <c r="AR16" s="96"/>
      <c r="AS16" s="96"/>
    </row>
    <row r="17" spans="1:83" ht="21.75" customHeight="1" thickBot="1">
      <c r="A17" s="19"/>
      <c r="B17" s="301">
        <v>11</v>
      </c>
      <c r="C17" s="696" t="s">
        <v>192</v>
      </c>
      <c r="D17" s="697"/>
      <c r="E17" s="698" t="s">
        <v>31</v>
      </c>
      <c r="F17" s="699"/>
      <c r="G17" s="58" t="s">
        <v>21</v>
      </c>
      <c r="H17" s="383" t="s">
        <v>21</v>
      </c>
      <c r="I17" s="255" t="s">
        <v>2</v>
      </c>
      <c r="J17" s="59" t="s">
        <v>506</v>
      </c>
      <c r="K17" s="40" t="s">
        <v>500</v>
      </c>
      <c r="L17" s="40" t="s">
        <v>500</v>
      </c>
      <c r="M17" s="59" t="s">
        <v>501</v>
      </c>
      <c r="N17" s="59" t="s">
        <v>21</v>
      </c>
      <c r="O17" s="266" t="s">
        <v>503</v>
      </c>
      <c r="P17" s="44" t="s">
        <v>507</v>
      </c>
      <c r="Q17" s="248" t="s">
        <v>516</v>
      </c>
      <c r="R17" s="248" t="s">
        <v>40</v>
      </c>
      <c r="S17" s="171" t="s">
        <v>21</v>
      </c>
      <c r="T17" s="171" t="s">
        <v>21</v>
      </c>
      <c r="U17" s="89" t="s">
        <v>21</v>
      </c>
      <c r="V17" s="274" t="s">
        <v>506</v>
      </c>
      <c r="W17" s="275" t="s">
        <v>506</v>
      </c>
      <c r="X17" s="275" t="s">
        <v>507</v>
      </c>
      <c r="Y17" s="334" t="s">
        <v>21</v>
      </c>
      <c r="Z17" s="275" t="s">
        <v>507</v>
      </c>
      <c r="AA17" s="282" t="s">
        <v>503</v>
      </c>
      <c r="AB17" s="47" t="s">
        <v>21</v>
      </c>
      <c r="AC17" s="59" t="s">
        <v>506</v>
      </c>
      <c r="AD17" s="59" t="s">
        <v>507</v>
      </c>
      <c r="AE17" s="59" t="s">
        <v>506</v>
      </c>
      <c r="AF17" s="40" t="s">
        <v>506</v>
      </c>
      <c r="AG17" s="114" t="s">
        <v>21</v>
      </c>
      <c r="AH17" s="222" t="s">
        <v>19</v>
      </c>
      <c r="AI17" s="47" t="s">
        <v>21</v>
      </c>
      <c r="AJ17" s="121" t="s">
        <v>506</v>
      </c>
      <c r="AK17" s="365" t="s">
        <v>506</v>
      </c>
      <c r="AL17" s="268">
        <f t="shared" si="0"/>
        <v>2</v>
      </c>
      <c r="AM17" s="25">
        <f t="shared" si="1"/>
        <v>18</v>
      </c>
      <c r="AN17" s="26">
        <f t="shared" si="2"/>
        <v>10</v>
      </c>
      <c r="AO17" s="29">
        <f t="shared" si="3"/>
        <v>12</v>
      </c>
      <c r="AP17" s="10">
        <v>5</v>
      </c>
      <c r="AQ17" s="689"/>
      <c r="AR17" s="689"/>
      <c r="AS17" s="653"/>
      <c r="AT17" s="653"/>
      <c r="AU17" s="156"/>
      <c r="AV17" s="157"/>
      <c r="AW17" s="157"/>
      <c r="AX17" s="218"/>
      <c r="AY17" s="157"/>
      <c r="AZ17" s="218"/>
      <c r="BA17" s="157"/>
      <c r="BB17" s="203"/>
      <c r="BC17" s="157"/>
      <c r="BD17" s="157"/>
      <c r="BE17" s="157"/>
      <c r="BF17" s="157"/>
      <c r="BG17" s="157"/>
      <c r="BH17" s="157"/>
      <c r="BI17" s="156"/>
      <c r="BJ17" s="157"/>
      <c r="BK17" s="157"/>
      <c r="BL17" s="158"/>
      <c r="BM17" s="158"/>
      <c r="BN17" s="157"/>
      <c r="BO17" s="157"/>
      <c r="BP17" s="302"/>
      <c r="BQ17" s="157"/>
      <c r="BR17" s="157"/>
      <c r="BS17" s="158"/>
      <c r="BT17" s="157"/>
      <c r="BU17" s="299"/>
      <c r="BV17" s="157"/>
      <c r="BW17" s="157"/>
      <c r="BX17" s="157"/>
      <c r="BY17" s="156"/>
      <c r="BZ17" s="159"/>
      <c r="CA17" s="161"/>
      <c r="CB17" s="160"/>
      <c r="CC17" s="160"/>
    </row>
    <row r="18" spans="1:83" ht="21.75" customHeight="1">
      <c r="A18" s="19"/>
      <c r="B18" s="301">
        <v>12</v>
      </c>
      <c r="C18" s="682" t="s">
        <v>39</v>
      </c>
      <c r="D18" s="683"/>
      <c r="E18" s="698" t="s">
        <v>31</v>
      </c>
      <c r="F18" s="699"/>
      <c r="G18" s="70" t="s">
        <v>21</v>
      </c>
      <c r="H18" s="40" t="s">
        <v>501</v>
      </c>
      <c r="I18" s="523" t="s">
        <v>534</v>
      </c>
      <c r="J18" s="153" t="s">
        <v>108</v>
      </c>
      <c r="K18" s="59" t="s">
        <v>507</v>
      </c>
      <c r="L18" s="59" t="s">
        <v>506</v>
      </c>
      <c r="M18" s="114" t="s">
        <v>21</v>
      </c>
      <c r="N18" s="68" t="s">
        <v>21</v>
      </c>
      <c r="O18" s="270" t="s">
        <v>500</v>
      </c>
      <c r="P18" s="169" t="s">
        <v>507</v>
      </c>
      <c r="Q18" s="169" t="s">
        <v>506</v>
      </c>
      <c r="R18" s="169" t="s">
        <v>506</v>
      </c>
      <c r="S18" s="81" t="s">
        <v>507</v>
      </c>
      <c r="T18" s="316" t="s">
        <v>21</v>
      </c>
      <c r="U18" s="64" t="s">
        <v>21</v>
      </c>
      <c r="V18" s="42" t="s">
        <v>507</v>
      </c>
      <c r="W18" s="71" t="s">
        <v>506</v>
      </c>
      <c r="X18" s="71" t="s">
        <v>507</v>
      </c>
      <c r="Y18" s="71" t="s">
        <v>506</v>
      </c>
      <c r="Z18" s="71" t="s">
        <v>507</v>
      </c>
      <c r="AA18" s="170" t="s">
        <v>21</v>
      </c>
      <c r="AB18" s="40" t="s">
        <v>21</v>
      </c>
      <c r="AC18" s="59" t="s">
        <v>507</v>
      </c>
      <c r="AD18" s="153" t="s">
        <v>21</v>
      </c>
      <c r="AE18" s="59" t="s">
        <v>507</v>
      </c>
      <c r="AF18" s="59" t="s">
        <v>506</v>
      </c>
      <c r="AG18" s="89" t="s">
        <v>506</v>
      </c>
      <c r="AH18" s="59" t="s">
        <v>500</v>
      </c>
      <c r="AI18" s="110" t="s">
        <v>21</v>
      </c>
      <c r="AJ18" s="324" t="s">
        <v>42</v>
      </c>
      <c r="AK18" s="287" t="s">
        <v>506</v>
      </c>
      <c r="AL18" s="268">
        <f t="shared" si="0"/>
        <v>1</v>
      </c>
      <c r="AM18" s="25">
        <f t="shared" si="1"/>
        <v>20</v>
      </c>
      <c r="AN18" s="26">
        <f t="shared" si="2"/>
        <v>10</v>
      </c>
      <c r="AO18" s="29">
        <f t="shared" si="3"/>
        <v>11</v>
      </c>
      <c r="AP18" s="238">
        <v>5</v>
      </c>
      <c r="AQ18" s="689"/>
      <c r="AR18" s="689"/>
      <c r="AS18" s="653"/>
      <c r="AT18" s="653"/>
      <c r="AU18" s="156"/>
      <c r="AV18" s="157"/>
      <c r="AW18" s="157"/>
      <c r="AX18" s="158"/>
      <c r="AY18" s="156"/>
      <c r="AZ18" s="156"/>
      <c r="BA18" s="156"/>
      <c r="BB18" s="156"/>
      <c r="BC18" s="157"/>
      <c r="BD18" s="206"/>
      <c r="BE18" s="206"/>
      <c r="BF18" s="218"/>
      <c r="BG18" s="206"/>
      <c r="BH18" s="16"/>
      <c r="BI18" s="156"/>
      <c r="BJ18" s="157"/>
      <c r="BK18" s="206"/>
      <c r="BL18" s="218"/>
      <c r="BM18" s="218"/>
      <c r="BN18" s="218"/>
      <c r="BO18" s="206"/>
      <c r="BP18" s="203"/>
      <c r="BQ18" s="157"/>
      <c r="BR18" s="206"/>
      <c r="BS18" s="218"/>
      <c r="BT18" s="218"/>
      <c r="BU18" s="306"/>
      <c r="BV18" s="218"/>
      <c r="BW18" s="203"/>
      <c r="BX18" s="157"/>
      <c r="BY18" s="157"/>
      <c r="BZ18" s="159"/>
      <c r="CA18" s="161"/>
      <c r="CB18" s="160"/>
      <c r="CC18" s="160"/>
    </row>
    <row r="19" spans="1:83" ht="22" customHeight="1">
      <c r="A19" s="19"/>
      <c r="B19" s="301">
        <v>13</v>
      </c>
      <c r="C19" s="690" t="s">
        <v>38</v>
      </c>
      <c r="D19" s="691"/>
      <c r="E19" s="686" t="s">
        <v>31</v>
      </c>
      <c r="F19" s="686"/>
      <c r="G19" s="58" t="s">
        <v>21</v>
      </c>
      <c r="H19" s="40" t="s">
        <v>503</v>
      </c>
      <c r="I19" s="255" t="s">
        <v>2</v>
      </c>
      <c r="J19" s="40" t="s">
        <v>506</v>
      </c>
      <c r="K19" s="59" t="s">
        <v>507</v>
      </c>
      <c r="L19" s="59" t="s">
        <v>518</v>
      </c>
      <c r="M19" s="114" t="s">
        <v>502</v>
      </c>
      <c r="N19" s="89" t="s">
        <v>21</v>
      </c>
      <c r="O19" s="285" t="s">
        <v>500</v>
      </c>
      <c r="P19" s="40" t="s">
        <v>517</v>
      </c>
      <c r="Q19" s="40" t="s">
        <v>507</v>
      </c>
      <c r="R19" s="153" t="s">
        <v>108</v>
      </c>
      <c r="S19" s="40" t="s">
        <v>507</v>
      </c>
      <c r="T19" s="313" t="s">
        <v>503</v>
      </c>
      <c r="U19" s="47" t="s">
        <v>21</v>
      </c>
      <c r="V19" s="40" t="s">
        <v>507</v>
      </c>
      <c r="W19" s="40" t="s">
        <v>518</v>
      </c>
      <c r="X19" s="40" t="s">
        <v>506</v>
      </c>
      <c r="Y19" s="59" t="s">
        <v>507</v>
      </c>
      <c r="Z19" s="40" t="s">
        <v>507</v>
      </c>
      <c r="AA19" s="114" t="s">
        <v>21</v>
      </c>
      <c r="AB19" s="59" t="s">
        <v>21</v>
      </c>
      <c r="AC19" s="40" t="s">
        <v>507</v>
      </c>
      <c r="AD19" s="40" t="s">
        <v>507</v>
      </c>
      <c r="AE19" s="91" t="s">
        <v>40</v>
      </c>
      <c r="AF19" s="59" t="s">
        <v>507</v>
      </c>
      <c r="AG19" s="89" t="s">
        <v>506</v>
      </c>
      <c r="AH19" s="114" t="s">
        <v>21</v>
      </c>
      <c r="AI19" s="74" t="s">
        <v>21</v>
      </c>
      <c r="AJ19" s="285" t="s">
        <v>506</v>
      </c>
      <c r="AK19" s="312" t="s">
        <v>108</v>
      </c>
      <c r="AL19" s="268">
        <f t="shared" si="0"/>
        <v>1</v>
      </c>
      <c r="AM19" s="25">
        <f t="shared" si="1"/>
        <v>20</v>
      </c>
      <c r="AN19" s="26">
        <f t="shared" si="2"/>
        <v>10</v>
      </c>
      <c r="AO19" s="29">
        <f t="shared" si="3"/>
        <v>11</v>
      </c>
      <c r="AP19" s="10">
        <v>3</v>
      </c>
      <c r="AQ19" s="303"/>
      <c r="AR19" s="692"/>
      <c r="AS19" s="692"/>
      <c r="AT19" s="693"/>
      <c r="AU19" s="693"/>
      <c r="AV19" s="158"/>
      <c r="AW19" s="157"/>
      <c r="AX19" s="157"/>
      <c r="AY19" s="158"/>
      <c r="AZ19" s="157"/>
      <c r="BA19" s="157"/>
      <c r="BB19" s="157"/>
      <c r="BC19" s="157"/>
      <c r="BD19" s="157"/>
      <c r="BE19" s="157"/>
      <c r="BF19" s="158"/>
      <c r="BG19" s="157"/>
      <c r="BH19" s="158"/>
      <c r="BI19" s="158"/>
      <c r="BJ19" s="158"/>
      <c r="BK19" s="157"/>
      <c r="BL19" s="158"/>
      <c r="BM19" s="157"/>
      <c r="BN19" s="157"/>
      <c r="BO19" s="304"/>
      <c r="BP19" s="157"/>
      <c r="BQ19" s="157"/>
      <c r="BR19" s="157"/>
      <c r="BS19" s="157"/>
      <c r="BT19" s="158"/>
      <c r="BU19" s="157"/>
      <c r="BV19" s="299"/>
      <c r="BW19" s="157"/>
      <c r="BX19" s="158"/>
      <c r="BY19" s="157"/>
      <c r="BZ19" s="158"/>
      <c r="CA19" s="305"/>
      <c r="CB19" s="161"/>
      <c r="CC19" s="161"/>
      <c r="CD19" s="161"/>
    </row>
    <row r="20" spans="1:83" ht="22" customHeight="1" thickBot="1">
      <c r="A20" s="19"/>
      <c r="B20" s="301">
        <v>14</v>
      </c>
      <c r="C20" s="684" t="s">
        <v>200</v>
      </c>
      <c r="D20" s="685"/>
      <c r="E20" s="694" t="s">
        <v>31</v>
      </c>
      <c r="F20" s="695"/>
      <c r="G20" s="58" t="s">
        <v>21</v>
      </c>
      <c r="H20" s="394" t="s">
        <v>21</v>
      </c>
      <c r="I20" s="524" t="s">
        <v>534</v>
      </c>
      <c r="J20" s="121" t="s">
        <v>507</v>
      </c>
      <c r="K20" s="44" t="s">
        <v>506</v>
      </c>
      <c r="L20" s="44" t="s">
        <v>507</v>
      </c>
      <c r="M20" s="121" t="s">
        <v>500</v>
      </c>
      <c r="N20" s="89" t="s">
        <v>21</v>
      </c>
      <c r="O20" s="341" t="s">
        <v>500</v>
      </c>
      <c r="P20" s="334" t="s">
        <v>21</v>
      </c>
      <c r="Q20" s="275" t="s">
        <v>506</v>
      </c>
      <c r="R20" s="321" t="s">
        <v>507</v>
      </c>
      <c r="S20" s="275" t="s">
        <v>507</v>
      </c>
      <c r="T20" s="315" t="s">
        <v>512</v>
      </c>
      <c r="U20" s="47" t="s">
        <v>21</v>
      </c>
      <c r="V20" s="40" t="s">
        <v>506</v>
      </c>
      <c r="W20" s="114" t="s">
        <v>515</v>
      </c>
      <c r="X20" s="59" t="s">
        <v>506</v>
      </c>
      <c r="Y20" s="59" t="s">
        <v>506</v>
      </c>
      <c r="Z20" s="40" t="s">
        <v>506</v>
      </c>
      <c r="AA20" s="59" t="s">
        <v>503</v>
      </c>
      <c r="AB20" s="59" t="s">
        <v>21</v>
      </c>
      <c r="AC20" s="44" t="s">
        <v>506</v>
      </c>
      <c r="AD20" s="44" t="s">
        <v>506</v>
      </c>
      <c r="AE20" s="121" t="s">
        <v>506</v>
      </c>
      <c r="AF20" s="44" t="s">
        <v>506</v>
      </c>
      <c r="AG20" s="87" t="s">
        <v>519</v>
      </c>
      <c r="AH20" s="200" t="s">
        <v>108</v>
      </c>
      <c r="AI20" s="74" t="s">
        <v>21</v>
      </c>
      <c r="AJ20" s="274" t="s">
        <v>506</v>
      </c>
      <c r="AK20" s="278" t="s">
        <v>506</v>
      </c>
      <c r="AL20" s="268">
        <f t="shared" si="0"/>
        <v>0</v>
      </c>
      <c r="AM20" s="25">
        <f t="shared" si="1"/>
        <v>21</v>
      </c>
      <c r="AN20" s="26">
        <f t="shared" si="2"/>
        <v>10</v>
      </c>
      <c r="AO20" s="29">
        <f t="shared" si="3"/>
        <v>10</v>
      </c>
      <c r="AP20" s="10">
        <v>4</v>
      </c>
      <c r="AQ20" s="689"/>
      <c r="AR20" s="689"/>
      <c r="AS20" s="653"/>
      <c r="AT20" s="653"/>
      <c r="AU20" s="304"/>
      <c r="AV20" s="158"/>
      <c r="AW20" s="158"/>
      <c r="AX20" s="158"/>
      <c r="AY20" s="157"/>
      <c r="AZ20" s="157"/>
      <c r="BA20" s="158"/>
      <c r="BB20" s="156"/>
      <c r="BC20" s="158"/>
      <c r="BD20" s="158"/>
      <c r="BE20" s="489"/>
      <c r="BF20" s="157"/>
      <c r="BG20" s="156"/>
      <c r="BH20" s="158"/>
      <c r="BI20" s="158"/>
      <c r="BJ20" s="489"/>
      <c r="BK20" s="157"/>
      <c r="BL20" s="158"/>
      <c r="BM20" s="157"/>
      <c r="BN20" s="158"/>
      <c r="BO20" s="158"/>
      <c r="BP20" s="203"/>
      <c r="BQ20" s="158"/>
      <c r="BR20" s="304"/>
      <c r="BS20" s="304"/>
      <c r="BT20" s="157"/>
      <c r="BU20" s="156"/>
      <c r="BV20" s="158"/>
      <c r="BW20" s="156"/>
      <c r="BX20" s="158"/>
      <c r="BY20" s="158"/>
      <c r="BZ20" s="159"/>
      <c r="CA20" s="161"/>
      <c r="CB20" s="160"/>
      <c r="CC20" s="160"/>
    </row>
    <row r="21" spans="1:83" ht="22" customHeight="1">
      <c r="A21" s="19">
        <v>5</v>
      </c>
      <c r="B21" s="301">
        <v>15</v>
      </c>
      <c r="C21" s="684" t="s">
        <v>26</v>
      </c>
      <c r="D21" s="685"/>
      <c r="E21" s="686" t="s">
        <v>31</v>
      </c>
      <c r="F21" s="686"/>
      <c r="G21" s="101" t="s">
        <v>21</v>
      </c>
      <c r="H21" s="519" t="s">
        <v>513</v>
      </c>
      <c r="I21" s="250" t="s">
        <v>533</v>
      </c>
      <c r="J21" s="169" t="s">
        <v>506</v>
      </c>
      <c r="K21" s="169" t="s">
        <v>507</v>
      </c>
      <c r="L21" s="169" t="s">
        <v>506</v>
      </c>
      <c r="M21" s="364" t="s">
        <v>494</v>
      </c>
      <c r="N21" s="47" t="s">
        <v>494</v>
      </c>
      <c r="O21" s="71" t="s">
        <v>504</v>
      </c>
      <c r="P21" s="170" t="s">
        <v>21</v>
      </c>
      <c r="Q21" s="71" t="s">
        <v>62</v>
      </c>
      <c r="R21" s="71" t="s">
        <v>507</v>
      </c>
      <c r="S21" s="71" t="s">
        <v>506</v>
      </c>
      <c r="T21" s="71" t="s">
        <v>503</v>
      </c>
      <c r="U21" s="59" t="s">
        <v>21</v>
      </c>
      <c r="V21" s="59" t="s">
        <v>507</v>
      </c>
      <c r="W21" s="59" t="s">
        <v>506</v>
      </c>
      <c r="X21" s="59" t="s">
        <v>506</v>
      </c>
      <c r="Y21" s="91" t="s">
        <v>544</v>
      </c>
      <c r="Z21" s="59" t="s">
        <v>506</v>
      </c>
      <c r="AA21" s="114" t="s">
        <v>21</v>
      </c>
      <c r="AB21" s="89" t="s">
        <v>21</v>
      </c>
      <c r="AC21" s="270" t="s">
        <v>507</v>
      </c>
      <c r="AD21" s="319" t="s">
        <v>21</v>
      </c>
      <c r="AE21" s="169" t="s">
        <v>58</v>
      </c>
      <c r="AF21" s="169" t="s">
        <v>517</v>
      </c>
      <c r="AG21" s="351" t="s">
        <v>506</v>
      </c>
      <c r="AH21" s="328" t="s">
        <v>19</v>
      </c>
      <c r="AI21" s="47" t="s">
        <v>21</v>
      </c>
      <c r="AJ21" s="71" t="s">
        <v>506</v>
      </c>
      <c r="AK21" s="247" t="s">
        <v>506</v>
      </c>
      <c r="AL21" s="30">
        <f t="shared" si="0"/>
        <v>1</v>
      </c>
      <c r="AM21" s="25">
        <f t="shared" si="1"/>
        <v>19</v>
      </c>
      <c r="AN21" s="26">
        <f t="shared" si="2"/>
        <v>10</v>
      </c>
      <c r="AO21" s="29">
        <f t="shared" si="3"/>
        <v>11</v>
      </c>
      <c r="AP21" s="10">
        <v>5</v>
      </c>
      <c r="AQ21" s="652"/>
      <c r="AR21" s="652"/>
      <c r="AS21" s="653"/>
      <c r="AT21" s="653"/>
      <c r="AU21" s="203"/>
      <c r="AV21" s="158"/>
      <c r="AW21" s="157"/>
      <c r="AX21" s="158"/>
      <c r="AY21" s="158"/>
      <c r="AZ21" s="157"/>
      <c r="BA21" s="157"/>
      <c r="BB21" s="203"/>
      <c r="BC21" s="158"/>
      <c r="BD21" s="157"/>
      <c r="BE21" s="156"/>
      <c r="BF21" s="158"/>
      <c r="BG21" s="158"/>
      <c r="BH21" s="157"/>
      <c r="BI21" s="158"/>
      <c r="BJ21" s="158"/>
      <c r="BK21" s="158"/>
      <c r="BL21" s="158"/>
      <c r="BM21" s="158"/>
      <c r="BN21" s="158"/>
      <c r="BO21" s="158"/>
      <c r="BP21" s="203"/>
      <c r="BQ21" s="158"/>
      <c r="BR21" s="157"/>
      <c r="BS21" s="158"/>
      <c r="BT21" s="158"/>
      <c r="BU21" s="158"/>
      <c r="BV21" s="156"/>
      <c r="BW21" s="158"/>
      <c r="BX21" s="158"/>
      <c r="BY21" s="156"/>
      <c r="BZ21" s="159"/>
      <c r="CA21" s="161"/>
      <c r="CB21" s="160"/>
      <c r="CC21" s="160"/>
    </row>
    <row r="22" spans="1:83" ht="22" customHeight="1">
      <c r="A22" s="19"/>
      <c r="B22" s="301">
        <v>16</v>
      </c>
      <c r="C22" s="687" t="s">
        <v>45</v>
      </c>
      <c r="D22" s="688"/>
      <c r="E22" s="686" t="s">
        <v>31</v>
      </c>
      <c r="F22" s="686"/>
      <c r="G22" s="103" t="s">
        <v>21</v>
      </c>
      <c r="H22" s="280" t="s">
        <v>503</v>
      </c>
      <c r="I22" s="255" t="s">
        <v>534</v>
      </c>
      <c r="J22" s="59" t="s">
        <v>506</v>
      </c>
      <c r="K22" s="40" t="s">
        <v>507</v>
      </c>
      <c r="L22" s="40" t="s">
        <v>507</v>
      </c>
      <c r="M22" s="312" t="s">
        <v>21</v>
      </c>
      <c r="N22" s="64" t="s">
        <v>21</v>
      </c>
      <c r="O22" s="59" t="s">
        <v>2</v>
      </c>
      <c r="P22" s="40" t="s">
        <v>506</v>
      </c>
      <c r="Q22" s="59" t="s">
        <v>506</v>
      </c>
      <c r="R22" s="59" t="s">
        <v>507</v>
      </c>
      <c r="S22" s="40" t="s">
        <v>517</v>
      </c>
      <c r="T22" s="114" t="s">
        <v>21</v>
      </c>
      <c r="U22" s="40" t="s">
        <v>21</v>
      </c>
      <c r="V22" s="59" t="s">
        <v>507</v>
      </c>
      <c r="W22" s="59" t="s">
        <v>506</v>
      </c>
      <c r="X22" s="59" t="s">
        <v>61</v>
      </c>
      <c r="Y22" s="40" t="s">
        <v>507</v>
      </c>
      <c r="Z22" s="40" t="s">
        <v>506</v>
      </c>
      <c r="AA22" s="153" t="s">
        <v>21</v>
      </c>
      <c r="AB22" s="68" t="s">
        <v>21</v>
      </c>
      <c r="AC22" s="280" t="s">
        <v>507</v>
      </c>
      <c r="AD22" s="40" t="s">
        <v>506</v>
      </c>
      <c r="AE22" s="91" t="s">
        <v>40</v>
      </c>
      <c r="AF22" s="114" t="s">
        <v>21</v>
      </c>
      <c r="AG22" s="40" t="s">
        <v>507</v>
      </c>
      <c r="AH22" s="521" t="s">
        <v>500</v>
      </c>
      <c r="AI22" s="64" t="s">
        <v>21</v>
      </c>
      <c r="AJ22" s="40" t="s">
        <v>507</v>
      </c>
      <c r="AK22" s="226" t="s">
        <v>21</v>
      </c>
      <c r="AL22" s="268">
        <f t="shared" si="0"/>
        <v>1</v>
      </c>
      <c r="AM22" s="25">
        <f t="shared" si="1"/>
        <v>20</v>
      </c>
      <c r="AN22" s="26">
        <f t="shared" si="2"/>
        <v>10</v>
      </c>
      <c r="AO22" s="29">
        <f t="shared" si="3"/>
        <v>11</v>
      </c>
      <c r="AP22" s="10">
        <v>5</v>
      </c>
      <c r="AQ22" s="689"/>
      <c r="AR22" s="689"/>
      <c r="AS22" s="653"/>
      <c r="AT22" s="653"/>
      <c r="AU22" s="304"/>
      <c r="AV22" s="158"/>
      <c r="AW22" s="158"/>
      <c r="AX22" s="158"/>
      <c r="AY22" s="157"/>
      <c r="AZ22" s="157"/>
      <c r="BA22" s="158"/>
      <c r="BB22" s="156"/>
      <c r="BC22" s="158"/>
      <c r="BD22" s="158"/>
      <c r="BE22" s="489"/>
      <c r="BF22" s="157"/>
      <c r="BG22" s="156"/>
      <c r="BH22" s="158"/>
      <c r="BI22" s="158"/>
      <c r="BJ22" s="489"/>
      <c r="BK22" s="157"/>
      <c r="BL22" s="158"/>
      <c r="BM22" s="157"/>
      <c r="BN22" s="158"/>
      <c r="BO22" s="158"/>
      <c r="BP22" s="203"/>
      <c r="BQ22" s="158"/>
      <c r="BR22" s="304"/>
      <c r="BS22" s="304"/>
      <c r="BT22" s="157"/>
      <c r="BU22" s="156"/>
      <c r="BV22" s="158"/>
      <c r="BW22" s="156"/>
      <c r="BX22" s="158"/>
      <c r="BY22" s="189"/>
    </row>
    <row r="23" spans="1:83" ht="22" customHeight="1">
      <c r="A23" s="19"/>
      <c r="B23" s="301">
        <v>17</v>
      </c>
      <c r="C23" s="682" t="s">
        <v>95</v>
      </c>
      <c r="D23" s="683"/>
      <c r="E23" s="673" t="s">
        <v>31</v>
      </c>
      <c r="F23" s="674"/>
      <c r="G23" s="101" t="s">
        <v>21</v>
      </c>
      <c r="H23" s="285" t="s">
        <v>503</v>
      </c>
      <c r="I23" s="255" t="s">
        <v>533</v>
      </c>
      <c r="J23" s="85" t="s">
        <v>506</v>
      </c>
      <c r="K23" s="59" t="s">
        <v>506</v>
      </c>
      <c r="L23" s="59" t="s">
        <v>507</v>
      </c>
      <c r="M23" s="312" t="s">
        <v>495</v>
      </c>
      <c r="N23" s="47" t="s">
        <v>21</v>
      </c>
      <c r="O23" s="40" t="s">
        <v>500</v>
      </c>
      <c r="P23" s="59" t="s">
        <v>507</v>
      </c>
      <c r="Q23" s="130" t="s">
        <v>507</v>
      </c>
      <c r="R23" s="59" t="s">
        <v>517</v>
      </c>
      <c r="S23" s="59" t="s">
        <v>517</v>
      </c>
      <c r="T23" s="114" t="s">
        <v>21</v>
      </c>
      <c r="U23" s="59" t="s">
        <v>21</v>
      </c>
      <c r="V23" s="40" t="s">
        <v>506</v>
      </c>
      <c r="W23" s="40" t="s">
        <v>506</v>
      </c>
      <c r="X23" s="40" t="s">
        <v>506</v>
      </c>
      <c r="Y23" s="59" t="s">
        <v>507</v>
      </c>
      <c r="Z23" s="59" t="s">
        <v>507</v>
      </c>
      <c r="AA23" s="114" t="s">
        <v>21</v>
      </c>
      <c r="AB23" s="89" t="s">
        <v>21</v>
      </c>
      <c r="AC23" s="333" t="s">
        <v>21</v>
      </c>
      <c r="AD23" s="40" t="s">
        <v>506</v>
      </c>
      <c r="AE23" s="40" t="s">
        <v>506</v>
      </c>
      <c r="AF23" s="59" t="s">
        <v>506</v>
      </c>
      <c r="AG23" s="40" t="s">
        <v>506</v>
      </c>
      <c r="AH23" s="284" t="s">
        <v>503</v>
      </c>
      <c r="AI23" s="47" t="s">
        <v>21</v>
      </c>
      <c r="AJ23" s="114" t="s">
        <v>21</v>
      </c>
      <c r="AK23" s="65" t="s">
        <v>507</v>
      </c>
      <c r="AL23" s="30">
        <f t="shared" si="0"/>
        <v>0</v>
      </c>
      <c r="AM23" s="25">
        <f t="shared" si="1"/>
        <v>21</v>
      </c>
      <c r="AN23" s="26">
        <f t="shared" si="2"/>
        <v>10</v>
      </c>
      <c r="AO23" s="29">
        <f t="shared" si="3"/>
        <v>10</v>
      </c>
      <c r="AP23" s="10">
        <v>4.5</v>
      </c>
      <c r="AR23" s="96"/>
      <c r="AS23" s="96"/>
    </row>
    <row r="24" spans="1:83" ht="22" customHeight="1" thickBot="1">
      <c r="A24" s="19"/>
      <c r="B24" s="54">
        <v>18</v>
      </c>
      <c r="C24" s="675" t="s">
        <v>48</v>
      </c>
      <c r="D24" s="676"/>
      <c r="E24" s="677" t="s">
        <v>31</v>
      </c>
      <c r="F24" s="677"/>
      <c r="G24" s="395" t="s">
        <v>1</v>
      </c>
      <c r="H24" s="520" t="s">
        <v>531</v>
      </c>
      <c r="I24" s="525" t="s">
        <v>534</v>
      </c>
      <c r="J24" s="529" t="s">
        <v>532</v>
      </c>
      <c r="K24" s="342" t="s">
        <v>506</v>
      </c>
      <c r="L24" s="275" t="s">
        <v>507</v>
      </c>
      <c r="M24" s="282" t="s">
        <v>496</v>
      </c>
      <c r="N24" s="102" t="s">
        <v>1</v>
      </c>
      <c r="O24" s="43" t="s">
        <v>501</v>
      </c>
      <c r="P24" s="43" t="s">
        <v>507</v>
      </c>
      <c r="Q24" s="114" t="s">
        <v>21</v>
      </c>
      <c r="R24" s="59" t="s">
        <v>517</v>
      </c>
      <c r="S24" s="43" t="s">
        <v>518</v>
      </c>
      <c r="T24" s="59" t="s">
        <v>507</v>
      </c>
      <c r="U24" s="43" t="s">
        <v>1</v>
      </c>
      <c r="V24" s="153" t="s">
        <v>21</v>
      </c>
      <c r="W24" s="93" t="s">
        <v>506</v>
      </c>
      <c r="X24" s="93" t="s">
        <v>506</v>
      </c>
      <c r="Y24" s="93" t="s">
        <v>507</v>
      </c>
      <c r="Z24" s="43" t="s">
        <v>506</v>
      </c>
      <c r="AA24" s="43" t="s">
        <v>500</v>
      </c>
      <c r="AB24" s="109" t="s">
        <v>1</v>
      </c>
      <c r="AC24" s="274" t="s">
        <v>507</v>
      </c>
      <c r="AD24" s="275" t="s">
        <v>182</v>
      </c>
      <c r="AE24" s="275" t="s">
        <v>507</v>
      </c>
      <c r="AF24" s="275" t="s">
        <v>507</v>
      </c>
      <c r="AG24" s="275" t="s">
        <v>506</v>
      </c>
      <c r="AH24" s="315" t="s">
        <v>21</v>
      </c>
      <c r="AI24" s="102" t="s">
        <v>1</v>
      </c>
      <c r="AJ24" s="93" t="s">
        <v>506</v>
      </c>
      <c r="AK24" s="95" t="s">
        <v>507</v>
      </c>
      <c r="AL24" s="369">
        <f t="shared" si="0"/>
        <v>0</v>
      </c>
      <c r="AM24" s="260">
        <f t="shared" si="1"/>
        <v>21</v>
      </c>
      <c r="AN24" s="32">
        <v>10</v>
      </c>
      <c r="AO24" s="28">
        <f t="shared" si="3"/>
        <v>10</v>
      </c>
      <c r="AP24" s="10">
        <v>3</v>
      </c>
      <c r="AR24" s="300"/>
      <c r="AS24" s="652"/>
      <c r="AT24" s="652"/>
      <c r="AU24" s="653"/>
      <c r="AV24" s="653"/>
      <c r="AW24" s="203"/>
      <c r="AX24" s="157"/>
      <c r="AY24" s="157"/>
      <c r="AZ24" s="298"/>
      <c r="BA24" s="157"/>
      <c r="BB24" s="156"/>
      <c r="BC24" s="157"/>
      <c r="BD24" s="157"/>
      <c r="BE24" s="157"/>
      <c r="BF24" s="204"/>
      <c r="BG24" s="157"/>
      <c r="BH24" s="157"/>
      <c r="BI24" s="298"/>
      <c r="BJ24" s="157"/>
      <c r="BK24" s="157"/>
      <c r="BL24" s="157"/>
      <c r="BM24" s="204"/>
      <c r="BN24" s="156"/>
      <c r="BO24" s="157"/>
      <c r="BP24" s="157"/>
      <c r="BQ24" s="157"/>
      <c r="BR24" s="203"/>
      <c r="BS24" s="157"/>
      <c r="BT24" s="157"/>
      <c r="BU24" s="158"/>
      <c r="BV24" s="157"/>
      <c r="BW24" s="299"/>
      <c r="BX24" s="157"/>
      <c r="BY24" s="157"/>
      <c r="BZ24" s="157"/>
      <c r="CA24" s="157"/>
      <c r="CB24" s="159"/>
      <c r="CC24" s="161"/>
      <c r="CD24" s="160"/>
      <c r="CE24" s="160"/>
    </row>
    <row r="25" spans="1:83" ht="22" customHeight="1">
      <c r="A25" s="19"/>
      <c r="B25" s="416">
        <v>19</v>
      </c>
      <c r="C25" s="678" t="s">
        <v>197</v>
      </c>
      <c r="D25" s="679"/>
      <c r="E25" s="680" t="s">
        <v>94</v>
      </c>
      <c r="F25" s="681"/>
      <c r="G25" s="142" t="s">
        <v>1</v>
      </c>
      <c r="H25" s="517" t="s">
        <v>21</v>
      </c>
      <c r="I25" s="518" t="s">
        <v>40</v>
      </c>
      <c r="J25" s="49" t="s">
        <v>506</v>
      </c>
      <c r="K25" s="49" t="s">
        <v>506</v>
      </c>
      <c r="L25" s="49" t="s">
        <v>506</v>
      </c>
      <c r="M25" s="517" t="s">
        <v>21</v>
      </c>
      <c r="N25" s="291" t="s">
        <v>21</v>
      </c>
      <c r="O25" s="291" t="s">
        <v>500</v>
      </c>
      <c r="P25" s="291" t="s">
        <v>507</v>
      </c>
      <c r="Q25" s="291" t="s">
        <v>506</v>
      </c>
      <c r="R25" s="291" t="s">
        <v>506</v>
      </c>
      <c r="S25" s="291" t="s">
        <v>507</v>
      </c>
      <c r="T25" s="516" t="s">
        <v>21</v>
      </c>
      <c r="U25" s="291" t="s">
        <v>21</v>
      </c>
      <c r="V25" s="291" t="s">
        <v>507</v>
      </c>
      <c r="W25" s="291" t="s">
        <v>506</v>
      </c>
      <c r="X25" s="291" t="s">
        <v>506</v>
      </c>
      <c r="Y25" s="291" t="s">
        <v>507</v>
      </c>
      <c r="Z25" s="291" t="s">
        <v>506</v>
      </c>
      <c r="AA25" s="516" t="s">
        <v>21</v>
      </c>
      <c r="AB25" s="291" t="s">
        <v>21</v>
      </c>
      <c r="AC25" s="49" t="s">
        <v>506</v>
      </c>
      <c r="AD25" s="49" t="s">
        <v>507</v>
      </c>
      <c r="AE25" s="49" t="s">
        <v>507</v>
      </c>
      <c r="AF25" s="49" t="s">
        <v>506</v>
      </c>
      <c r="AG25" s="49" t="s">
        <v>506</v>
      </c>
      <c r="AH25" s="517" t="s">
        <v>21</v>
      </c>
      <c r="AI25" s="291" t="s">
        <v>21</v>
      </c>
      <c r="AJ25" s="291" t="s">
        <v>506</v>
      </c>
      <c r="AK25" s="495" t="s">
        <v>507</v>
      </c>
      <c r="AL25" s="55">
        <f t="shared" si="0"/>
        <v>1</v>
      </c>
      <c r="AM25" s="21">
        <f t="shared" si="1"/>
        <v>20</v>
      </c>
      <c r="AN25" s="22">
        <f t="shared" si="2"/>
        <v>10</v>
      </c>
      <c r="AO25" s="295">
        <f t="shared" si="3"/>
        <v>11</v>
      </c>
      <c r="AP25" s="10"/>
      <c r="AR25" s="652"/>
      <c r="AS25" s="652"/>
      <c r="AT25" s="653"/>
      <c r="AU25" s="653"/>
      <c r="AV25" s="203"/>
      <c r="AW25" s="157"/>
      <c r="AX25" s="157"/>
      <c r="AY25" s="298"/>
      <c r="AZ25" s="157"/>
      <c r="BA25" s="156"/>
      <c r="BB25" s="157"/>
      <c r="BC25" s="203"/>
      <c r="BD25" s="157"/>
      <c r="BE25" s="204"/>
      <c r="BF25" s="298"/>
      <c r="BG25" s="157"/>
      <c r="BH25" s="158"/>
      <c r="BI25" s="157"/>
      <c r="BJ25" s="298"/>
      <c r="BK25" s="157"/>
      <c r="BL25" s="204"/>
      <c r="BM25" s="156"/>
      <c r="BN25" s="157"/>
      <c r="BO25" s="298"/>
      <c r="BP25" s="157"/>
      <c r="BQ25" s="156"/>
      <c r="BR25" s="157"/>
      <c r="BS25" s="157"/>
      <c r="BT25" s="156"/>
      <c r="BU25" s="157"/>
      <c r="BV25" s="299"/>
      <c r="BW25" s="157"/>
      <c r="BX25" s="203"/>
      <c r="BY25" s="157"/>
      <c r="BZ25" s="157"/>
      <c r="CA25" s="159"/>
      <c r="CB25" s="161"/>
      <c r="CC25" s="160"/>
      <c r="CD25" s="160"/>
    </row>
    <row r="26" spans="1:83" ht="22.5" customHeight="1">
      <c r="A26" s="659"/>
      <c r="B26" s="660" t="s">
        <v>3</v>
      </c>
      <c r="C26" s="661"/>
      <c r="D26" s="661"/>
      <c r="E26" s="662"/>
      <c r="F26" s="297" t="s">
        <v>2</v>
      </c>
      <c r="G26" s="512">
        <f>COUNTIF(G6:G23,"D")</f>
        <v>0</v>
      </c>
      <c r="H26" s="386">
        <f>COUNTIF(H6:H24,"D")</f>
        <v>11</v>
      </c>
      <c r="I26" s="526" t="s">
        <v>520</v>
      </c>
      <c r="J26" s="526" t="s">
        <v>523</v>
      </c>
      <c r="K26" s="386">
        <f t="shared" ref="K26:AH26" si="4">COUNTIF(K6:K24,"D")</f>
        <v>15</v>
      </c>
      <c r="L26" s="386">
        <f t="shared" si="4"/>
        <v>16</v>
      </c>
      <c r="M26" s="386">
        <f t="shared" si="4"/>
        <v>6</v>
      </c>
      <c r="N26" s="386">
        <f t="shared" si="4"/>
        <v>0</v>
      </c>
      <c r="O26" s="386">
        <f t="shared" si="4"/>
        <v>16</v>
      </c>
      <c r="P26" s="386">
        <f t="shared" si="4"/>
        <v>14</v>
      </c>
      <c r="Q26" s="386">
        <f t="shared" si="4"/>
        <v>15</v>
      </c>
      <c r="R26" s="386">
        <f t="shared" si="4"/>
        <v>15</v>
      </c>
      <c r="S26" s="386">
        <f t="shared" si="4"/>
        <v>15</v>
      </c>
      <c r="T26" s="386">
        <f t="shared" si="4"/>
        <v>7</v>
      </c>
      <c r="U26" s="386">
        <f t="shared" si="4"/>
        <v>0</v>
      </c>
      <c r="V26" s="386">
        <f t="shared" si="4"/>
        <v>15</v>
      </c>
      <c r="W26" s="386">
        <f t="shared" si="4"/>
        <v>14</v>
      </c>
      <c r="X26" s="386">
        <f t="shared" si="4"/>
        <v>15</v>
      </c>
      <c r="Y26" s="386">
        <f t="shared" si="4"/>
        <v>16</v>
      </c>
      <c r="Z26" s="386">
        <f t="shared" si="4"/>
        <v>16</v>
      </c>
      <c r="AA26" s="386">
        <f t="shared" si="4"/>
        <v>6</v>
      </c>
      <c r="AB26" s="386">
        <f t="shared" si="4"/>
        <v>0</v>
      </c>
      <c r="AC26" s="386">
        <f t="shared" si="4"/>
        <v>15</v>
      </c>
      <c r="AD26" s="526" t="s">
        <v>521</v>
      </c>
      <c r="AE26" s="386">
        <f t="shared" si="4"/>
        <v>14</v>
      </c>
      <c r="AF26" s="386">
        <f t="shared" si="4"/>
        <v>15</v>
      </c>
      <c r="AG26" s="386">
        <f t="shared" si="4"/>
        <v>16</v>
      </c>
      <c r="AH26" s="386">
        <f t="shared" si="4"/>
        <v>6</v>
      </c>
      <c r="AI26" s="108">
        <f t="shared" ref="AI26:AK26" si="5">COUNTIF(AI6:AI23,"D")</f>
        <v>0</v>
      </c>
      <c r="AJ26" s="514">
        <f t="shared" si="5"/>
        <v>13</v>
      </c>
      <c r="AK26" s="515">
        <f t="shared" si="5"/>
        <v>13</v>
      </c>
      <c r="AL26" s="175">
        <f t="shared" si="0"/>
        <v>0</v>
      </c>
      <c r="AM26" s="33">
        <f t="shared" si="1"/>
        <v>0</v>
      </c>
      <c r="AN26" s="34">
        <f t="shared" si="2"/>
        <v>0</v>
      </c>
      <c r="AO26" s="410">
        <f t="shared" si="3"/>
        <v>0</v>
      </c>
      <c r="AP26" s="10"/>
    </row>
    <row r="27" spans="1:83" ht="22.5" customHeight="1">
      <c r="A27" s="659"/>
      <c r="B27" s="663" t="s">
        <v>4</v>
      </c>
      <c r="C27" s="664"/>
      <c r="D27" s="664"/>
      <c r="E27" s="665"/>
      <c r="F27" s="2" t="s">
        <v>1</v>
      </c>
      <c r="G27" s="14">
        <f t="shared" ref="G27:AK27" si="6">COUNTIF(G6:G25,"●")</f>
        <v>20</v>
      </c>
      <c r="H27" s="14">
        <f t="shared" si="6"/>
        <v>8</v>
      </c>
      <c r="I27" s="14">
        <f t="shared" si="6"/>
        <v>1</v>
      </c>
      <c r="J27" s="14">
        <f t="shared" si="6"/>
        <v>3</v>
      </c>
      <c r="K27" s="14">
        <f t="shared" si="6"/>
        <v>1</v>
      </c>
      <c r="L27" s="14">
        <f t="shared" si="6"/>
        <v>2</v>
      </c>
      <c r="M27" s="14">
        <f t="shared" si="6"/>
        <v>13</v>
      </c>
      <c r="N27" s="14">
        <f t="shared" si="6"/>
        <v>20</v>
      </c>
      <c r="O27" s="14">
        <f t="shared" si="6"/>
        <v>2</v>
      </c>
      <c r="P27" s="14">
        <f t="shared" si="6"/>
        <v>4</v>
      </c>
      <c r="Q27" s="14">
        <f t="shared" si="6"/>
        <v>2</v>
      </c>
      <c r="R27" s="14">
        <f t="shared" si="6"/>
        <v>2</v>
      </c>
      <c r="S27" s="14">
        <f t="shared" si="6"/>
        <v>2</v>
      </c>
      <c r="T27" s="14">
        <f t="shared" si="6"/>
        <v>12</v>
      </c>
      <c r="U27" s="14">
        <f t="shared" si="6"/>
        <v>20</v>
      </c>
      <c r="V27" s="14">
        <f t="shared" si="6"/>
        <v>2</v>
      </c>
      <c r="W27" s="14">
        <f t="shared" si="6"/>
        <v>3</v>
      </c>
      <c r="X27" s="14">
        <f t="shared" si="6"/>
        <v>1</v>
      </c>
      <c r="Y27" s="14">
        <f t="shared" si="6"/>
        <v>1</v>
      </c>
      <c r="Z27" s="14">
        <f t="shared" si="6"/>
        <v>2</v>
      </c>
      <c r="AA27" s="14">
        <f t="shared" si="6"/>
        <v>13</v>
      </c>
      <c r="AB27" s="14">
        <f t="shared" si="6"/>
        <v>20</v>
      </c>
      <c r="AC27" s="14">
        <f t="shared" si="6"/>
        <v>1</v>
      </c>
      <c r="AD27" s="14">
        <f t="shared" si="6"/>
        <v>2</v>
      </c>
      <c r="AE27" s="14">
        <f t="shared" si="6"/>
        <v>2</v>
      </c>
      <c r="AF27" s="14">
        <f t="shared" si="6"/>
        <v>3</v>
      </c>
      <c r="AG27" s="14">
        <f t="shared" si="6"/>
        <v>1</v>
      </c>
      <c r="AH27" s="14">
        <f t="shared" si="6"/>
        <v>9</v>
      </c>
      <c r="AI27" s="14">
        <f t="shared" si="6"/>
        <v>20</v>
      </c>
      <c r="AJ27" s="14">
        <f t="shared" si="6"/>
        <v>2</v>
      </c>
      <c r="AK27" s="14">
        <f t="shared" si="6"/>
        <v>2</v>
      </c>
      <c r="AL27" s="666" t="s">
        <v>174</v>
      </c>
      <c r="AM27" s="667"/>
      <c r="AN27" s="667"/>
      <c r="AO27" s="668"/>
      <c r="AP27" s="10"/>
    </row>
    <row r="28" spans="1:83" ht="22.5" customHeight="1" thickBot="1">
      <c r="A28" s="743"/>
      <c r="B28" s="670" t="s">
        <v>5</v>
      </c>
      <c r="C28" s="671"/>
      <c r="D28" s="671"/>
      <c r="E28" s="672"/>
      <c r="F28" s="3" t="s">
        <v>0</v>
      </c>
      <c r="G28" s="14">
        <f t="shared" ref="G28:AK28" si="7">COUNTIF(G6:G25,"▲")</f>
        <v>0</v>
      </c>
      <c r="H28" s="14">
        <f t="shared" si="7"/>
        <v>0</v>
      </c>
      <c r="I28" s="14">
        <f t="shared" si="7"/>
        <v>1</v>
      </c>
      <c r="J28" s="14">
        <f t="shared" si="7"/>
        <v>0</v>
      </c>
      <c r="K28" s="14">
        <f t="shared" si="7"/>
        <v>2</v>
      </c>
      <c r="L28" s="14">
        <f t="shared" si="7"/>
        <v>0</v>
      </c>
      <c r="M28" s="14">
        <f t="shared" si="7"/>
        <v>0</v>
      </c>
      <c r="N28" s="14">
        <f t="shared" si="7"/>
        <v>0</v>
      </c>
      <c r="O28" s="14">
        <f t="shared" si="7"/>
        <v>0</v>
      </c>
      <c r="P28" s="14">
        <f t="shared" si="7"/>
        <v>0</v>
      </c>
      <c r="Q28" s="14">
        <f t="shared" si="7"/>
        <v>1</v>
      </c>
      <c r="R28" s="14">
        <f t="shared" si="7"/>
        <v>1</v>
      </c>
      <c r="S28" s="14">
        <f t="shared" si="7"/>
        <v>0</v>
      </c>
      <c r="T28" s="14">
        <f t="shared" si="7"/>
        <v>0</v>
      </c>
      <c r="U28" s="14">
        <f t="shared" si="7"/>
        <v>0</v>
      </c>
      <c r="V28" s="14">
        <f t="shared" si="7"/>
        <v>1</v>
      </c>
      <c r="W28" s="14">
        <f t="shared" si="7"/>
        <v>1</v>
      </c>
      <c r="X28" s="14">
        <f t="shared" si="7"/>
        <v>1</v>
      </c>
      <c r="Y28" s="14">
        <f t="shared" si="7"/>
        <v>1</v>
      </c>
      <c r="Z28" s="14">
        <f t="shared" si="7"/>
        <v>0</v>
      </c>
      <c r="AA28" s="14">
        <f t="shared" si="7"/>
        <v>0</v>
      </c>
      <c r="AB28" s="14">
        <f t="shared" si="7"/>
        <v>0</v>
      </c>
      <c r="AC28" s="14">
        <f t="shared" si="7"/>
        <v>2</v>
      </c>
      <c r="AD28" s="14">
        <f t="shared" si="7"/>
        <v>0</v>
      </c>
      <c r="AE28" s="14">
        <f t="shared" si="7"/>
        <v>2</v>
      </c>
      <c r="AF28" s="14">
        <f t="shared" si="7"/>
        <v>0</v>
      </c>
      <c r="AG28" s="14">
        <f t="shared" si="7"/>
        <v>1</v>
      </c>
      <c r="AH28" s="14">
        <f t="shared" si="7"/>
        <v>1</v>
      </c>
      <c r="AI28" s="14">
        <f t="shared" si="7"/>
        <v>0</v>
      </c>
      <c r="AJ28" s="14">
        <f t="shared" si="7"/>
        <v>2</v>
      </c>
      <c r="AK28" s="14">
        <f t="shared" si="7"/>
        <v>1</v>
      </c>
      <c r="AL28" s="52" t="s">
        <v>19</v>
      </c>
      <c r="AM28" s="649" t="s">
        <v>17</v>
      </c>
      <c r="AN28" s="650"/>
      <c r="AO28" s="651"/>
      <c r="AP28" s="10"/>
    </row>
    <row r="29" spans="1:83" ht="22.5" customHeight="1" thickTop="1" thickBot="1">
      <c r="A29" s="743"/>
      <c r="B29" s="654"/>
      <c r="C29" s="654"/>
      <c r="D29" s="654"/>
      <c r="E29" s="654"/>
      <c r="F29" s="654"/>
      <c r="G29" s="286"/>
      <c r="H29" s="651" t="s">
        <v>93</v>
      </c>
      <c r="I29" s="655"/>
      <c r="J29" s="655"/>
      <c r="K29" s="3" t="s">
        <v>499</v>
      </c>
      <c r="L29" s="649" t="s">
        <v>5</v>
      </c>
      <c r="M29" s="651"/>
      <c r="N29" s="5" t="s">
        <v>68</v>
      </c>
      <c r="O29" s="656" t="s">
        <v>177</v>
      </c>
      <c r="P29" s="657"/>
      <c r="Q29" s="658"/>
      <c r="R29" s="5" t="s">
        <v>91</v>
      </c>
      <c r="S29" s="656" t="s">
        <v>179</v>
      </c>
      <c r="T29" s="657"/>
      <c r="U29" s="658"/>
      <c r="V29" s="6" t="s">
        <v>56</v>
      </c>
      <c r="W29" s="644" t="s">
        <v>178</v>
      </c>
      <c r="X29" s="645"/>
      <c r="Y29" s="645"/>
      <c r="Z29" s="6" t="s">
        <v>83</v>
      </c>
      <c r="AA29" s="644" t="s">
        <v>180</v>
      </c>
      <c r="AB29" s="645"/>
      <c r="AC29" s="645"/>
      <c r="AD29" s="152" t="s">
        <v>1</v>
      </c>
      <c r="AE29" s="646" t="s">
        <v>175</v>
      </c>
      <c r="AF29" s="647"/>
      <c r="AG29" s="648"/>
      <c r="AH29" s="513" t="s">
        <v>21</v>
      </c>
      <c r="AI29" s="649" t="s">
        <v>4</v>
      </c>
      <c r="AJ29" s="650"/>
      <c r="AK29" s="651"/>
      <c r="AL29" s="13" t="s">
        <v>20</v>
      </c>
      <c r="AM29" s="649" t="s">
        <v>18</v>
      </c>
      <c r="AN29" s="650"/>
      <c r="AO29" s="651"/>
      <c r="AP29" s="10"/>
    </row>
    <row r="30" spans="1:83" customFormat="1" ht="19" thickTop="1">
      <c r="B30" s="8"/>
      <c r="C30" s="652"/>
      <c r="D30" s="652"/>
      <c r="E30" s="653"/>
      <c r="F30" s="653"/>
      <c r="G30" s="156"/>
      <c r="H30" s="158"/>
      <c r="I30" s="157"/>
      <c r="J30" s="158"/>
      <c r="K30" s="158"/>
      <c r="L30" s="158"/>
      <c r="M30" s="158"/>
      <c r="N30" s="203"/>
      <c r="O30" s="158"/>
      <c r="P30" s="158"/>
      <c r="Q30" s="203"/>
      <c r="R30" s="157"/>
      <c r="S30" s="157"/>
      <c r="T30" s="158"/>
      <c r="U30" s="158"/>
      <c r="V30" s="158"/>
      <c r="W30" s="158"/>
      <c r="X30" s="157"/>
      <c r="Y30" s="157"/>
      <c r="Z30" s="157"/>
      <c r="AA30" s="158"/>
      <c r="AB30" s="203"/>
      <c r="AC30" s="158"/>
      <c r="AD30" s="158"/>
      <c r="AE30" s="203"/>
      <c r="AF30" s="157"/>
      <c r="AG30" s="158"/>
      <c r="AH30" s="158"/>
      <c r="AI30" s="157"/>
      <c r="AJ30" s="158"/>
      <c r="AK30" s="158"/>
      <c r="AN30" s="9"/>
      <c r="AO30" s="11"/>
    </row>
    <row r="31" spans="1:83" s="11" customFormat="1" ht="18">
      <c r="A31" s="1"/>
      <c r="B31" s="652"/>
      <c r="C31" s="652"/>
      <c r="D31" s="652"/>
      <c r="E31" s="652"/>
      <c r="F31" s="653"/>
      <c r="G31" s="653"/>
      <c r="H31" s="156"/>
      <c r="I31" s="158"/>
      <c r="J31" s="157"/>
      <c r="K31" s="158"/>
      <c r="L31" s="158"/>
      <c r="M31" s="157"/>
      <c r="N31" s="157"/>
      <c r="O31" s="203"/>
      <c r="P31" s="158"/>
      <c r="Q31" s="157"/>
      <c r="R31" s="157"/>
      <c r="S31" s="158"/>
      <c r="T31" s="158"/>
      <c r="U31" s="218"/>
      <c r="V31" s="158"/>
      <c r="W31" s="158"/>
      <c r="X31" s="158"/>
      <c r="Y31" s="158"/>
      <c r="Z31" s="156"/>
      <c r="AA31" s="158"/>
      <c r="AB31" s="158"/>
      <c r="AC31" s="158"/>
      <c r="AD31" s="158"/>
      <c r="AE31" s="157"/>
      <c r="AF31" s="158"/>
      <c r="AG31" s="156"/>
      <c r="AH31" s="158"/>
      <c r="AI31" s="158"/>
      <c r="AJ31" s="158"/>
      <c r="AK31" s="158"/>
      <c r="AL31" s="156"/>
      <c r="AM31" s="160"/>
      <c r="AN31" s="160"/>
      <c r="AP31" s="12"/>
      <c r="AQ31" s="1"/>
      <c r="AR31" s="1"/>
      <c r="AS31" s="1"/>
      <c r="AT31" s="1"/>
    </row>
    <row r="32" spans="1:83" s="11" customFormat="1">
      <c r="A32" s="1"/>
      <c r="B32" s="1"/>
      <c r="C32" s="1"/>
      <c r="D32" s="1"/>
      <c r="E32" s="1"/>
      <c r="F32" s="1"/>
      <c r="G32"/>
      <c r="H32" s="1"/>
      <c r="I32" s="1"/>
      <c r="J32" s="8"/>
      <c r="K32" s="8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7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9"/>
      <c r="AP32" s="12"/>
      <c r="AQ32" s="1"/>
      <c r="AR32" s="1"/>
      <c r="AS32" s="1"/>
      <c r="AT32" s="1"/>
    </row>
    <row r="33" spans="1:46" s="11" customFormat="1" ht="18">
      <c r="A33" s="1"/>
      <c r="B33" s="1"/>
      <c r="C33" s="1"/>
      <c r="D33" s="1"/>
      <c r="E33" s="1"/>
      <c r="F33" s="1"/>
      <c r="G33" s="17"/>
      <c r="H33" s="17"/>
      <c r="I33" s="17"/>
      <c r="J33" s="17"/>
      <c r="K33" s="15"/>
      <c r="L33" s="17"/>
      <c r="M33" s="17"/>
      <c r="N33" s="17"/>
      <c r="O33" s="17"/>
      <c r="P33" s="17"/>
      <c r="Q33" s="17"/>
      <c r="R33" s="15"/>
      <c r="S33" s="17"/>
      <c r="T33" s="16"/>
      <c r="U33" s="16"/>
      <c r="V33" s="16"/>
      <c r="W33" s="16"/>
      <c r="X33" s="16"/>
      <c r="Y33" s="15"/>
      <c r="Z33" s="16"/>
      <c r="AA33" s="16"/>
      <c r="AB33" s="16"/>
      <c r="AC33" s="16"/>
      <c r="AD33" s="16"/>
      <c r="AE33" s="16"/>
      <c r="AF33" s="15" t="s">
        <v>41</v>
      </c>
      <c r="AG33" s="16"/>
      <c r="AH33" s="16"/>
      <c r="AI33" s="16"/>
      <c r="AJ33" s="16"/>
      <c r="AK33" s="16"/>
      <c r="AL33" s="1"/>
      <c r="AM33" s="1"/>
      <c r="AN33" s="9"/>
      <c r="AP33" s="12"/>
      <c r="AQ33" s="1"/>
      <c r="AR33" s="1"/>
      <c r="AS33" s="1"/>
      <c r="AT33" s="1"/>
    </row>
    <row r="34" spans="1:46" s="11" customFormat="1">
      <c r="A34" s="1"/>
      <c r="B34" s="1"/>
      <c r="C34" s="1"/>
      <c r="D34" s="1"/>
      <c r="E34" s="1"/>
      <c r="F34" s="1"/>
      <c r="G34"/>
      <c r="H34" s="1"/>
      <c r="I34" s="1"/>
      <c r="J34" s="8"/>
      <c r="K34" s="8"/>
      <c r="L34" s="1"/>
      <c r="M34" t="s">
        <v>27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7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9"/>
      <c r="AP34" s="12"/>
      <c r="AQ34" s="1"/>
      <c r="AR34" s="1"/>
      <c r="AS34" s="1"/>
      <c r="AT34" s="1"/>
    </row>
    <row r="35" spans="1:46" s="11" customFormat="1">
      <c r="A35" s="1"/>
      <c r="B35" s="1"/>
      <c r="C35" s="1"/>
      <c r="D35" s="1"/>
      <c r="E35" s="1"/>
      <c r="F35" s="1"/>
      <c r="G35"/>
      <c r="H35" s="1"/>
      <c r="I35" s="1"/>
      <c r="J35" s="8"/>
      <c r="K35" s="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7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9"/>
      <c r="AP35" s="12"/>
      <c r="AQ35" s="1"/>
      <c r="AR35" s="1"/>
      <c r="AS35" s="1"/>
      <c r="AT35" s="1"/>
    </row>
    <row r="36" spans="1:46" s="11" customFormat="1">
      <c r="A36" s="1"/>
      <c r="B36" s="1"/>
      <c r="C36" s="1"/>
      <c r="D36" s="1"/>
      <c r="E36" s="1"/>
      <c r="F36" s="1"/>
      <c r="G36"/>
      <c r="H36" s="1"/>
      <c r="I36" s="1"/>
      <c r="J36" s="8"/>
      <c r="K36" s="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7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9"/>
      <c r="AP36" s="12"/>
      <c r="AQ36" s="1"/>
      <c r="AR36" s="1"/>
      <c r="AS36" s="1"/>
      <c r="AT36" s="1"/>
    </row>
    <row r="37" spans="1:46" s="11" customFormat="1">
      <c r="A37" s="1"/>
      <c r="B37" s="1"/>
      <c r="C37" s="1"/>
      <c r="D37" s="1"/>
      <c r="E37" s="1"/>
      <c r="F37" s="1"/>
      <c r="G37"/>
      <c r="H37" s="1"/>
      <c r="I37" s="1"/>
      <c r="J37" s="8"/>
      <c r="K37" s="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7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9"/>
      <c r="AP37" s="12"/>
      <c r="AQ37" s="1"/>
      <c r="AR37" s="1"/>
      <c r="AS37" s="1"/>
      <c r="AT37" s="1"/>
    </row>
    <row r="38" spans="1:46" s="11" customFormat="1">
      <c r="A38" s="1"/>
      <c r="B38" s="1"/>
      <c r="C38" s="1"/>
      <c r="D38" s="1"/>
      <c r="E38" s="1"/>
      <c r="F38" s="1"/>
      <c r="G38"/>
      <c r="H38" s="1"/>
      <c r="I38" s="1"/>
      <c r="J38" s="8"/>
      <c r="K38" s="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7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9"/>
      <c r="AP38" s="12"/>
      <c r="AQ38" s="1"/>
      <c r="AR38" s="1"/>
      <c r="AS38" s="1"/>
      <c r="AT38" s="1"/>
    </row>
    <row r="39" spans="1:46" s="11" customFormat="1">
      <c r="A39" s="1"/>
      <c r="B39" s="1"/>
      <c r="C39" s="1"/>
      <c r="D39" s="1"/>
      <c r="E39" s="1"/>
      <c r="F39" s="1"/>
      <c r="G39"/>
      <c r="H39" s="1"/>
      <c r="I39" s="1"/>
      <c r="J39" s="8"/>
      <c r="K39" s="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7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9"/>
      <c r="AP39" s="12"/>
      <c r="AQ39" s="1"/>
      <c r="AR39" s="1"/>
      <c r="AS39" s="1"/>
      <c r="AT39" s="1"/>
    </row>
    <row r="40" spans="1:46" s="11" customFormat="1">
      <c r="A40" s="1"/>
      <c r="B40" s="1"/>
      <c r="C40" s="1"/>
      <c r="D40" s="1"/>
      <c r="E40" s="1"/>
      <c r="F40" s="1"/>
      <c r="G40"/>
      <c r="H40" s="1"/>
      <c r="I40" s="1"/>
      <c r="J40" s="8"/>
      <c r="K40" s="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7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9"/>
      <c r="AP40" s="12"/>
      <c r="AQ40" s="1"/>
      <c r="AR40" s="1"/>
      <c r="AS40" s="1"/>
      <c r="AT40" s="1"/>
    </row>
    <row r="41" spans="1:46" s="11" customFormat="1">
      <c r="A41" s="1"/>
      <c r="B41" s="1"/>
      <c r="C41" s="1"/>
      <c r="D41" s="1"/>
      <c r="E41" s="1"/>
      <c r="F41" s="1"/>
      <c r="G41"/>
      <c r="H41" s="1"/>
      <c r="I41" s="1"/>
      <c r="J41" s="8"/>
      <c r="K41" s="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7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9"/>
      <c r="AP41" s="12"/>
      <c r="AQ41" s="1"/>
      <c r="AR41" s="1"/>
      <c r="AS41" s="1"/>
      <c r="AT41" s="1"/>
    </row>
    <row r="42" spans="1:46" s="11" customFormat="1">
      <c r="A42" s="1"/>
      <c r="B42" s="1"/>
      <c r="C42" s="1"/>
      <c r="D42" s="1"/>
      <c r="E42" s="1"/>
      <c r="F42" s="1"/>
      <c r="G42"/>
      <c r="H42" s="1"/>
      <c r="I42" s="1"/>
      <c r="J42" s="8"/>
      <c r="K42" s="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7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9"/>
      <c r="AP42" s="12"/>
      <c r="AQ42" s="1"/>
      <c r="AR42" s="1"/>
      <c r="AS42" s="1"/>
      <c r="AT42" s="1"/>
    </row>
    <row r="43" spans="1:46" s="11" customFormat="1">
      <c r="A43" s="1"/>
      <c r="B43" s="1"/>
      <c r="C43" s="1"/>
      <c r="D43" s="1"/>
      <c r="E43" s="1"/>
      <c r="F43" s="1"/>
      <c r="G43"/>
      <c r="H43" s="1"/>
      <c r="I43" s="1"/>
      <c r="J43" s="8"/>
      <c r="K43" s="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7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9"/>
      <c r="AP43" s="12"/>
      <c r="AQ43" s="1"/>
      <c r="AR43" s="1"/>
      <c r="AS43" s="1"/>
      <c r="AT43" s="1"/>
    </row>
    <row r="44" spans="1:46" s="11" customFormat="1">
      <c r="A44" s="1"/>
      <c r="B44" s="1"/>
      <c r="C44" s="1"/>
      <c r="D44" s="1"/>
      <c r="E44" s="1"/>
      <c r="F44" s="1"/>
      <c r="G44"/>
      <c r="H44" s="1"/>
      <c r="I44" s="1"/>
      <c r="J44" s="8"/>
      <c r="K44" s="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7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9"/>
      <c r="AP44" s="12"/>
      <c r="AQ44" s="1"/>
      <c r="AR44" s="1"/>
      <c r="AS44" s="1"/>
      <c r="AT44" s="1"/>
    </row>
    <row r="45" spans="1:46" s="11" customFormat="1">
      <c r="A45" s="1"/>
      <c r="B45" s="1"/>
      <c r="C45" s="1"/>
      <c r="D45" s="1"/>
      <c r="E45" s="1"/>
      <c r="F45" s="1"/>
      <c r="G45"/>
      <c r="H45" s="1"/>
      <c r="I45" s="1"/>
      <c r="J45" s="8"/>
      <c r="K45" s="8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7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9"/>
      <c r="AP45" s="12"/>
      <c r="AQ45" s="1"/>
      <c r="AR45" s="1"/>
      <c r="AS45" s="1"/>
      <c r="AT45" s="1"/>
    </row>
    <row r="46" spans="1:46" s="11" customFormat="1">
      <c r="A46" s="1"/>
      <c r="B46" s="1"/>
      <c r="C46" s="1"/>
      <c r="D46" s="1"/>
      <c r="E46" s="1"/>
      <c r="F46" s="1"/>
      <c r="G46"/>
      <c r="H46" s="1"/>
      <c r="I46" s="1"/>
      <c r="J46" s="8"/>
      <c r="K46" s="8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7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9"/>
      <c r="AP46" s="12"/>
      <c r="AQ46" s="1"/>
      <c r="AR46" s="1"/>
      <c r="AS46" s="1"/>
      <c r="AT46" s="1"/>
    </row>
    <row r="47" spans="1:46">
      <c r="Y47" s="1"/>
      <c r="AD47" s="1"/>
    </row>
    <row r="48" spans="1:46" ht="40">
      <c r="R48" s="125"/>
      <c r="Y48" s="1"/>
      <c r="AD48" s="1"/>
    </row>
    <row r="49" spans="3:30">
      <c r="Y49" s="1"/>
      <c r="AD49" s="1"/>
    </row>
    <row r="50" spans="3:30">
      <c r="Y50" s="1"/>
      <c r="AD50" s="1"/>
    </row>
    <row r="51" spans="3:30">
      <c r="Y51" s="1"/>
      <c r="AD51" s="1"/>
    </row>
    <row r="52" spans="3:30">
      <c r="C52" s="544">
        <v>83.668750000000003</v>
      </c>
      <c r="Y52" s="1"/>
      <c r="AD52" s="1"/>
    </row>
    <row r="53" spans="3:30">
      <c r="Y53" s="1"/>
      <c r="AD53" s="1"/>
    </row>
    <row r="54" spans="3:30">
      <c r="Y54" s="1"/>
      <c r="AD54" s="1"/>
    </row>
    <row r="55" spans="3:30">
      <c r="Y55" s="1"/>
      <c r="AD55" s="1"/>
    </row>
    <row r="56" spans="3:30">
      <c r="Y56" s="1"/>
      <c r="AD56" s="1"/>
    </row>
    <row r="57" spans="3:30">
      <c r="Y57" s="1"/>
      <c r="AD57" s="1"/>
    </row>
    <row r="58" spans="3:30">
      <c r="Y58" s="1"/>
      <c r="AD58" s="1"/>
    </row>
    <row r="59" spans="3:30">
      <c r="Y59" s="1"/>
      <c r="AD59" s="1"/>
    </row>
    <row r="60" spans="3:30">
      <c r="Y60" s="1"/>
      <c r="AD60" s="1"/>
    </row>
    <row r="61" spans="3:30">
      <c r="Y61" s="1"/>
      <c r="AD61" s="1"/>
    </row>
    <row r="62" spans="3:30">
      <c r="Y62" s="1"/>
      <c r="AD62" s="1"/>
    </row>
    <row r="63" spans="3:30">
      <c r="Y63" s="1"/>
      <c r="AD63" s="1"/>
    </row>
    <row r="64" spans="3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527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81" priority="11" operator="equal">
      <formula>8</formula>
    </cfRule>
    <cfRule type="cellIs" dxfId="80" priority="12" operator="equal">
      <formula>0</formula>
    </cfRule>
  </conditionalFormatting>
  <conditionalFormatting sqref="BZ20:BZ21">
    <cfRule type="cellIs" dxfId="79" priority="5" operator="equal">
      <formula>8</formula>
    </cfRule>
    <cfRule type="cellIs" dxfId="78" priority="6" operator="equal">
      <formula>0</formula>
    </cfRule>
  </conditionalFormatting>
  <conditionalFormatting sqref="CA19">
    <cfRule type="cellIs" dxfId="77" priority="1" operator="equal">
      <formula>8</formula>
    </cfRule>
    <cfRule type="cellIs" dxfId="76" priority="2" operator="equal">
      <formula>0</formula>
    </cfRule>
  </conditionalFormatting>
  <conditionalFormatting sqref="CA25">
    <cfRule type="cellIs" dxfId="75" priority="3" operator="equal">
      <formula>8</formula>
    </cfRule>
    <cfRule type="cellIs" dxfId="74" priority="4" operator="equal">
      <formula>0</formula>
    </cfRule>
  </conditionalFormatting>
  <conditionalFormatting sqref="CB24">
    <cfRule type="cellIs" dxfId="73" priority="7" operator="equal">
      <formula>8</formula>
    </cfRule>
    <cfRule type="cellIs" dxfId="72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G12" sqref="AG12"/>
      <selection pane="topRight" activeCell="AG12" sqref="AG12"/>
      <selection pane="bottomLeft" activeCell="AG12" sqref="AG12"/>
      <selection pane="bottomRight" activeCell="B10" sqref="A10:XFD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8" customWidth="1"/>
    <col min="12" max="24" width="3.6640625" style="1" customWidth="1"/>
    <col min="25" max="25" width="3.6640625" style="38" customWidth="1"/>
    <col min="26" max="28" width="3.6640625" style="1" customWidth="1"/>
    <col min="29" max="29" width="3.6640625" style="7" customWidth="1"/>
    <col min="30" max="30" width="3.6640625" style="41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9" customWidth="1"/>
    <col min="41" max="41" width="5.1640625" style="11" customWidth="1"/>
    <col min="42" max="42" width="9" style="12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18"/>
      <c r="B1" s="729" t="s">
        <v>536</v>
      </c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  <c r="AA1" s="729"/>
      <c r="AB1" s="729"/>
      <c r="AC1" s="729"/>
      <c r="AD1" s="729"/>
      <c r="AE1" s="729"/>
      <c r="AF1" s="729"/>
      <c r="AG1" s="729"/>
      <c r="AH1" s="729"/>
      <c r="AI1" s="729"/>
      <c r="AJ1" s="729"/>
      <c r="AK1" s="729"/>
      <c r="AL1" s="729"/>
      <c r="AM1" s="729"/>
      <c r="AN1" s="729"/>
      <c r="AO1" s="729"/>
    </row>
    <row r="2" spans="1:46" ht="22.5" customHeight="1">
      <c r="A2" s="1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29"/>
      <c r="AB2" s="729"/>
      <c r="AC2" s="729"/>
      <c r="AD2" s="729"/>
      <c r="AE2" s="729"/>
      <c r="AF2" s="729"/>
      <c r="AG2" s="729"/>
      <c r="AH2" s="729"/>
      <c r="AI2" s="729"/>
      <c r="AJ2" s="729"/>
      <c r="AK2" s="729"/>
      <c r="AL2" s="729"/>
      <c r="AM2" s="729"/>
      <c r="AN2" s="729"/>
      <c r="AO2" s="729"/>
    </row>
    <row r="3" spans="1:46" ht="22.5" customHeight="1">
      <c r="A3" s="18"/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R3" s="730"/>
      <c r="S3" s="730"/>
      <c r="T3" s="730"/>
      <c r="U3" s="730"/>
      <c r="V3" s="730"/>
      <c r="W3" s="730"/>
      <c r="X3" s="730"/>
      <c r="Y3" s="730"/>
      <c r="Z3" s="730"/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</row>
    <row r="4" spans="1:46" ht="25" customHeight="1">
      <c r="B4" s="731"/>
      <c r="C4" s="733" t="s">
        <v>6</v>
      </c>
      <c r="D4" s="734"/>
      <c r="E4" s="734"/>
      <c r="F4" s="735"/>
      <c r="G4" s="310">
        <v>1</v>
      </c>
      <c r="H4" s="37">
        <v>2</v>
      </c>
      <c r="I4" s="37">
        <v>3</v>
      </c>
      <c r="J4" s="127">
        <v>4</v>
      </c>
      <c r="K4" s="51">
        <v>5</v>
      </c>
      <c r="L4" s="37">
        <v>6</v>
      </c>
      <c r="M4" s="37">
        <v>7</v>
      </c>
      <c r="N4" s="37">
        <v>8</v>
      </c>
      <c r="O4" s="37">
        <v>9</v>
      </c>
      <c r="P4" s="37">
        <v>10</v>
      </c>
      <c r="Q4" s="127">
        <v>11</v>
      </c>
      <c r="R4" s="51">
        <v>12</v>
      </c>
      <c r="S4" s="37">
        <v>13</v>
      </c>
      <c r="T4" s="37">
        <v>14</v>
      </c>
      <c r="U4" s="37">
        <v>15</v>
      </c>
      <c r="V4" s="37">
        <v>16</v>
      </c>
      <c r="W4" s="37">
        <v>17</v>
      </c>
      <c r="X4" s="127">
        <v>18</v>
      </c>
      <c r="Y4" s="51">
        <v>19</v>
      </c>
      <c r="Z4" s="37">
        <v>20</v>
      </c>
      <c r="AA4" s="37">
        <v>21</v>
      </c>
      <c r="AB4" s="37">
        <v>22</v>
      </c>
      <c r="AC4" s="37">
        <v>23</v>
      </c>
      <c r="AD4" s="37">
        <v>24</v>
      </c>
      <c r="AE4" s="127">
        <v>25</v>
      </c>
      <c r="AF4" s="51">
        <v>26</v>
      </c>
      <c r="AG4" s="37">
        <v>27</v>
      </c>
      <c r="AH4" s="37">
        <v>28</v>
      </c>
      <c r="AI4" s="37">
        <v>29</v>
      </c>
      <c r="AJ4" s="37">
        <v>30</v>
      </c>
      <c r="AK4" s="309">
        <v>31</v>
      </c>
      <c r="AL4" s="736" t="s">
        <v>35</v>
      </c>
      <c r="AM4" s="737"/>
      <c r="AN4" s="737"/>
      <c r="AO4" s="738"/>
      <c r="AP4" s="10"/>
    </row>
    <row r="5" spans="1:46" ht="25" customHeight="1">
      <c r="B5" s="732"/>
      <c r="C5" s="739" t="s">
        <v>7</v>
      </c>
      <c r="D5" s="740"/>
      <c r="E5" s="741" t="s">
        <v>8</v>
      </c>
      <c r="F5" s="742"/>
      <c r="G5" s="184" t="s">
        <v>537</v>
      </c>
      <c r="H5" s="185" t="s">
        <v>63</v>
      </c>
      <c r="I5" s="185" t="s">
        <v>11</v>
      </c>
      <c r="J5" s="186" t="s">
        <v>12</v>
      </c>
      <c r="K5" s="188" t="s">
        <v>13</v>
      </c>
      <c r="L5" s="185" t="s">
        <v>14</v>
      </c>
      <c r="M5" s="185" t="s">
        <v>15</v>
      </c>
      <c r="N5" s="185" t="s">
        <v>9</v>
      </c>
      <c r="O5" s="185" t="s">
        <v>10</v>
      </c>
      <c r="P5" s="185" t="s">
        <v>11</v>
      </c>
      <c r="Q5" s="186" t="s">
        <v>12</v>
      </c>
      <c r="R5" s="188" t="s">
        <v>13</v>
      </c>
      <c r="S5" s="185" t="s">
        <v>14</v>
      </c>
      <c r="T5" s="185" t="s">
        <v>15</v>
      </c>
      <c r="U5" s="185" t="s">
        <v>9</v>
      </c>
      <c r="V5" s="185" t="s">
        <v>10</v>
      </c>
      <c r="W5" s="185" t="s">
        <v>11</v>
      </c>
      <c r="X5" s="186" t="s">
        <v>12</v>
      </c>
      <c r="Y5" s="188" t="s">
        <v>13</v>
      </c>
      <c r="Z5" s="185" t="s">
        <v>14</v>
      </c>
      <c r="AA5" s="185" t="s">
        <v>15</v>
      </c>
      <c r="AB5" s="185" t="s">
        <v>9</v>
      </c>
      <c r="AC5" s="185" t="s">
        <v>10</v>
      </c>
      <c r="AD5" s="185" t="s">
        <v>11</v>
      </c>
      <c r="AE5" s="186" t="s">
        <v>12</v>
      </c>
      <c r="AF5" s="188" t="s">
        <v>13</v>
      </c>
      <c r="AG5" s="185" t="s">
        <v>14</v>
      </c>
      <c r="AH5" s="185" t="s">
        <v>15</v>
      </c>
      <c r="AI5" s="185" t="s">
        <v>9</v>
      </c>
      <c r="AJ5" s="185" t="s">
        <v>10</v>
      </c>
      <c r="AK5" s="208" t="s">
        <v>11</v>
      </c>
      <c r="AL5" s="3" t="s">
        <v>0</v>
      </c>
      <c r="AM5" s="35" t="s">
        <v>2</v>
      </c>
      <c r="AN5" s="253" t="s">
        <v>1</v>
      </c>
      <c r="AO5" s="36" t="s">
        <v>16</v>
      </c>
      <c r="AP5" s="10"/>
    </row>
    <row r="6" spans="1:46" ht="22" customHeight="1">
      <c r="B6" s="353">
        <v>1</v>
      </c>
      <c r="C6" s="718" t="s">
        <v>191</v>
      </c>
      <c r="D6" s="719"/>
      <c r="E6" s="720" t="s">
        <v>34</v>
      </c>
      <c r="F6" s="721"/>
      <c r="G6" s="76" t="s">
        <v>550</v>
      </c>
      <c r="H6" s="39" t="s">
        <v>551</v>
      </c>
      <c r="I6" s="39" t="s">
        <v>551</v>
      </c>
      <c r="J6" s="112" t="s">
        <v>21</v>
      </c>
      <c r="K6" s="75" t="s">
        <v>566</v>
      </c>
      <c r="L6" s="39" t="s">
        <v>551</v>
      </c>
      <c r="M6" s="48" t="s">
        <v>166</v>
      </c>
      <c r="N6" s="384" t="s">
        <v>91</v>
      </c>
      <c r="O6" s="39" t="s">
        <v>181</v>
      </c>
      <c r="P6" s="39" t="s">
        <v>551</v>
      </c>
      <c r="Q6" s="112" t="s">
        <v>21</v>
      </c>
      <c r="R6" s="75" t="s">
        <v>21</v>
      </c>
      <c r="S6" s="39" t="s">
        <v>551</v>
      </c>
      <c r="T6" s="39" t="s">
        <v>551</v>
      </c>
      <c r="U6" s="75" t="s">
        <v>550</v>
      </c>
      <c r="V6" s="39" t="s">
        <v>551</v>
      </c>
      <c r="W6" s="39" t="s">
        <v>551</v>
      </c>
      <c r="X6" s="48" t="s">
        <v>21</v>
      </c>
      <c r="Y6" s="75" t="s">
        <v>21</v>
      </c>
      <c r="Z6" s="53" t="s">
        <v>551</v>
      </c>
      <c r="AA6" s="39" t="s">
        <v>551</v>
      </c>
      <c r="AB6" s="75" t="s">
        <v>551</v>
      </c>
      <c r="AC6" s="79" t="s">
        <v>551</v>
      </c>
      <c r="AD6" s="39" t="s">
        <v>555</v>
      </c>
      <c r="AE6" s="48" t="s">
        <v>21</v>
      </c>
      <c r="AF6" s="75" t="s">
        <v>21</v>
      </c>
      <c r="AG6" s="39" t="s">
        <v>551</v>
      </c>
      <c r="AH6" s="39" t="s">
        <v>551</v>
      </c>
      <c r="AI6" s="75" t="s">
        <v>550</v>
      </c>
      <c r="AJ6" s="39" t="s">
        <v>551</v>
      </c>
      <c r="AK6" s="88"/>
      <c r="AL6" s="55">
        <f t="shared" ref="AL6:AL26" si="0">COUNTIF(G6:AK6,"▲")</f>
        <v>0</v>
      </c>
      <c r="AM6" s="21">
        <f t="shared" ref="AM6:AM26" si="1">COUNTIF(G6:AK6,"D")</f>
        <v>20</v>
      </c>
      <c r="AN6" s="387" t="s">
        <v>608</v>
      </c>
      <c r="AO6" s="27">
        <f t="shared" ref="AO6:AO26" si="2">AN6+AL6</f>
        <v>8.5</v>
      </c>
      <c r="AP6" s="10"/>
    </row>
    <row r="7" spans="1:46" ht="21.75" customHeight="1">
      <c r="B7" s="54">
        <v>2</v>
      </c>
      <c r="C7" s="710" t="s">
        <v>22</v>
      </c>
      <c r="D7" s="722"/>
      <c r="E7" s="723" t="s">
        <v>23</v>
      </c>
      <c r="F7" s="724"/>
      <c r="G7" s="100" t="s">
        <v>559</v>
      </c>
      <c r="H7" s="93" t="s">
        <v>559</v>
      </c>
      <c r="I7" s="168" t="s">
        <v>559</v>
      </c>
      <c r="J7" s="50" t="s">
        <v>21</v>
      </c>
      <c r="K7" s="46" t="s">
        <v>21</v>
      </c>
      <c r="L7" s="93" t="s">
        <v>559</v>
      </c>
      <c r="M7" s="93" t="s">
        <v>2</v>
      </c>
      <c r="N7" s="93" t="s">
        <v>2</v>
      </c>
      <c r="O7" s="49" t="s">
        <v>559</v>
      </c>
      <c r="P7" s="109" t="s">
        <v>559</v>
      </c>
      <c r="Q7" s="50" t="s">
        <v>21</v>
      </c>
      <c r="R7" s="46" t="s">
        <v>21</v>
      </c>
      <c r="S7" s="93" t="s">
        <v>559</v>
      </c>
      <c r="T7" s="43" t="s">
        <v>559</v>
      </c>
      <c r="U7" s="93" t="s">
        <v>559</v>
      </c>
      <c r="V7" s="43" t="s">
        <v>559</v>
      </c>
      <c r="W7" s="93" t="s">
        <v>559</v>
      </c>
      <c r="X7" s="50" t="s">
        <v>21</v>
      </c>
      <c r="Y7" s="168" t="s">
        <v>21</v>
      </c>
      <c r="Z7" s="174" t="s">
        <v>19</v>
      </c>
      <c r="AA7" s="46" t="s">
        <v>559</v>
      </c>
      <c r="AB7" s="93" t="s">
        <v>559</v>
      </c>
      <c r="AC7" s="168" t="s">
        <v>559</v>
      </c>
      <c r="AD7" s="196" t="s">
        <v>40</v>
      </c>
      <c r="AE7" s="50" t="s">
        <v>21</v>
      </c>
      <c r="AF7" s="93" t="s">
        <v>21</v>
      </c>
      <c r="AG7" s="43" t="s">
        <v>51</v>
      </c>
      <c r="AH7" s="133" t="s">
        <v>40</v>
      </c>
      <c r="AI7" s="43" t="s">
        <v>149</v>
      </c>
      <c r="AJ7" s="196" t="s">
        <v>607</v>
      </c>
      <c r="AK7" s="132"/>
      <c r="AL7" s="221">
        <f t="shared" si="0"/>
        <v>3</v>
      </c>
      <c r="AM7" s="260">
        <f t="shared" si="1"/>
        <v>18</v>
      </c>
      <c r="AN7" s="32">
        <v>8</v>
      </c>
      <c r="AO7" s="167">
        <f t="shared" si="2"/>
        <v>11</v>
      </c>
      <c r="AP7" s="10"/>
      <c r="AQ7"/>
      <c r="AT7"/>
    </row>
    <row r="8" spans="1:46" ht="22" customHeight="1">
      <c r="B8" s="353">
        <v>3</v>
      </c>
      <c r="C8" s="725" t="s">
        <v>36</v>
      </c>
      <c r="D8" s="726"/>
      <c r="E8" s="727" t="s">
        <v>37</v>
      </c>
      <c r="F8" s="728"/>
      <c r="G8" s="380" t="s">
        <v>560</v>
      </c>
      <c r="H8" s="233" t="s">
        <v>21</v>
      </c>
      <c r="I8" s="75" t="s">
        <v>560</v>
      </c>
      <c r="J8" s="71" t="s">
        <v>559</v>
      </c>
      <c r="K8" s="75" t="s">
        <v>21</v>
      </c>
      <c r="L8" s="179" t="s">
        <v>560</v>
      </c>
      <c r="M8" s="179" t="s">
        <v>2</v>
      </c>
      <c r="N8" s="75" t="s">
        <v>538</v>
      </c>
      <c r="O8" s="233" t="s">
        <v>21</v>
      </c>
      <c r="P8" s="75" t="s">
        <v>560</v>
      </c>
      <c r="Q8" s="71" t="s">
        <v>560</v>
      </c>
      <c r="R8" s="75" t="s">
        <v>21</v>
      </c>
      <c r="S8" s="75" t="s">
        <v>559</v>
      </c>
      <c r="T8" s="75" t="s">
        <v>559</v>
      </c>
      <c r="U8" s="75" t="s">
        <v>559</v>
      </c>
      <c r="V8" s="233" t="s">
        <v>21</v>
      </c>
      <c r="W8" s="75" t="s">
        <v>559</v>
      </c>
      <c r="X8" s="71" t="s">
        <v>559</v>
      </c>
      <c r="Y8" s="75" t="s">
        <v>21</v>
      </c>
      <c r="Z8" s="71" t="s">
        <v>560</v>
      </c>
      <c r="AA8" s="233" t="s">
        <v>21</v>
      </c>
      <c r="AB8" s="75" t="s">
        <v>560</v>
      </c>
      <c r="AC8" s="98" t="s">
        <v>559</v>
      </c>
      <c r="AD8" s="257" t="s">
        <v>561</v>
      </c>
      <c r="AE8" s="71" t="s">
        <v>559</v>
      </c>
      <c r="AF8" s="75" t="s">
        <v>21</v>
      </c>
      <c r="AG8" s="75" t="s">
        <v>559</v>
      </c>
      <c r="AH8" s="75" t="s">
        <v>149</v>
      </c>
      <c r="AI8" s="75" t="s">
        <v>149</v>
      </c>
      <c r="AJ8" s="239" t="s">
        <v>40</v>
      </c>
      <c r="AK8" s="239"/>
      <c r="AL8" s="124">
        <f t="shared" si="0"/>
        <v>1</v>
      </c>
      <c r="AM8" s="33">
        <f t="shared" si="1"/>
        <v>21</v>
      </c>
      <c r="AN8" s="22">
        <f t="shared" ref="AN8:AN26" si="3">COUNTIF(G8:AK8,"●")</f>
        <v>8</v>
      </c>
      <c r="AO8" s="27">
        <f t="shared" si="2"/>
        <v>9</v>
      </c>
      <c r="AP8" s="10"/>
      <c r="AR8"/>
    </row>
    <row r="9" spans="1:46" ht="22" hidden="1" customHeight="1">
      <c r="A9" s="701"/>
      <c r="B9" s="20">
        <v>4</v>
      </c>
      <c r="C9" s="781"/>
      <c r="D9" s="782"/>
      <c r="E9" s="704"/>
      <c r="F9" s="705"/>
      <c r="G9" s="70"/>
      <c r="H9" s="388"/>
      <c r="I9" s="57"/>
      <c r="J9" s="59"/>
      <c r="K9" s="40" t="s">
        <v>1</v>
      </c>
      <c r="L9" s="59"/>
      <c r="M9" s="59"/>
      <c r="N9" s="45"/>
      <c r="O9" s="59"/>
      <c r="P9" s="91"/>
      <c r="Q9" s="59"/>
      <c r="R9" s="40" t="s">
        <v>1</v>
      </c>
      <c r="S9" s="40"/>
      <c r="T9" s="59"/>
      <c r="U9" s="40"/>
      <c r="V9" s="40"/>
      <c r="W9" s="59"/>
      <c r="X9" s="59"/>
      <c r="Y9" s="40" t="s">
        <v>1</v>
      </c>
      <c r="Z9" s="44"/>
      <c r="AA9" s="59"/>
      <c r="AB9" s="40"/>
      <c r="AC9" s="59"/>
      <c r="AD9" s="59"/>
      <c r="AE9" s="59"/>
      <c r="AF9" s="40" t="s">
        <v>1</v>
      </c>
      <c r="AG9" s="57"/>
      <c r="AH9" s="59"/>
      <c r="AI9" s="40"/>
      <c r="AJ9" s="59"/>
      <c r="AK9" s="65"/>
      <c r="AL9" s="30">
        <f t="shared" si="0"/>
        <v>0</v>
      </c>
      <c r="AM9" s="25">
        <f t="shared" si="1"/>
        <v>0</v>
      </c>
      <c r="AN9" s="26">
        <f t="shared" si="3"/>
        <v>4</v>
      </c>
      <c r="AO9" s="29"/>
      <c r="AP9" s="10"/>
      <c r="AR9" t="s">
        <v>168</v>
      </c>
      <c r="AS9" t="s">
        <v>169</v>
      </c>
      <c r="AT9" t="s">
        <v>170</v>
      </c>
    </row>
    <row r="10" spans="1:46" ht="22" customHeight="1">
      <c r="A10" s="701"/>
      <c r="B10" s="20">
        <v>4</v>
      </c>
      <c r="C10" s="702" t="s">
        <v>46</v>
      </c>
      <c r="D10" s="703"/>
      <c r="E10" s="704" t="s">
        <v>24</v>
      </c>
      <c r="F10" s="705"/>
      <c r="G10" s="58" t="s">
        <v>559</v>
      </c>
      <c r="H10" s="40" t="s">
        <v>2</v>
      </c>
      <c r="I10" s="121" t="s">
        <v>559</v>
      </c>
      <c r="J10" s="40" t="s">
        <v>539</v>
      </c>
      <c r="K10" s="59" t="s">
        <v>21</v>
      </c>
      <c r="L10" s="59" t="s">
        <v>539</v>
      </c>
      <c r="M10" s="59" t="s">
        <v>560</v>
      </c>
      <c r="N10" s="383" t="s">
        <v>21</v>
      </c>
      <c r="O10" s="40" t="s">
        <v>559</v>
      </c>
      <c r="P10" s="40" t="s">
        <v>560</v>
      </c>
      <c r="Q10" s="40" t="s">
        <v>2</v>
      </c>
      <c r="R10" s="59" t="s">
        <v>21</v>
      </c>
      <c r="S10" s="40" t="s">
        <v>560</v>
      </c>
      <c r="T10" s="40" t="s">
        <v>559</v>
      </c>
      <c r="U10" s="57" t="s">
        <v>21</v>
      </c>
      <c r="V10" s="40" t="s">
        <v>560</v>
      </c>
      <c r="W10" s="40" t="s">
        <v>560</v>
      </c>
      <c r="X10" s="40" t="s">
        <v>568</v>
      </c>
      <c r="Y10" s="89" t="s">
        <v>21</v>
      </c>
      <c r="Z10" s="222" t="s">
        <v>19</v>
      </c>
      <c r="AA10" s="47" t="s">
        <v>559</v>
      </c>
      <c r="AB10" s="59" t="s">
        <v>559</v>
      </c>
      <c r="AC10" s="114" t="s">
        <v>21</v>
      </c>
      <c r="AD10" s="114" t="s">
        <v>21</v>
      </c>
      <c r="AE10" s="40" t="s">
        <v>2</v>
      </c>
      <c r="AF10" s="59" t="s">
        <v>21</v>
      </c>
      <c r="AG10" s="40" t="s">
        <v>561</v>
      </c>
      <c r="AH10" s="59" t="s">
        <v>559</v>
      </c>
      <c r="AI10" s="59" t="s">
        <v>149</v>
      </c>
      <c r="AJ10" s="40" t="s">
        <v>559</v>
      </c>
      <c r="AK10" s="528"/>
      <c r="AL10" s="30">
        <f t="shared" si="0"/>
        <v>0</v>
      </c>
      <c r="AM10" s="25">
        <f t="shared" si="1"/>
        <v>21</v>
      </c>
      <c r="AN10" s="26">
        <f t="shared" si="3"/>
        <v>8</v>
      </c>
      <c r="AO10" s="29">
        <f t="shared" si="2"/>
        <v>8</v>
      </c>
      <c r="AP10" s="10">
        <v>3</v>
      </c>
      <c r="AQ10"/>
      <c r="AR10"/>
      <c r="AS10"/>
      <c r="AT10"/>
    </row>
    <row r="11" spans="1:46" ht="22" customHeight="1">
      <c r="A11" s="701"/>
      <c r="B11" s="20">
        <v>5</v>
      </c>
      <c r="C11" s="706" t="s">
        <v>167</v>
      </c>
      <c r="D11" s="707"/>
      <c r="E11" s="698" t="s">
        <v>24</v>
      </c>
      <c r="F11" s="699"/>
      <c r="G11" s="58" t="s">
        <v>559</v>
      </c>
      <c r="H11" s="68" t="s">
        <v>2</v>
      </c>
      <c r="I11" s="222" t="s">
        <v>19</v>
      </c>
      <c r="J11" s="231" t="s">
        <v>540</v>
      </c>
      <c r="K11" s="59" t="s">
        <v>540</v>
      </c>
      <c r="L11" s="59" t="s">
        <v>560</v>
      </c>
      <c r="M11" s="71" t="s">
        <v>560</v>
      </c>
      <c r="N11" s="59" t="s">
        <v>2</v>
      </c>
      <c r="O11" s="59" t="s">
        <v>560</v>
      </c>
      <c r="P11" s="59" t="s">
        <v>560</v>
      </c>
      <c r="Q11" s="57" t="s">
        <v>1</v>
      </c>
      <c r="R11" s="59" t="s">
        <v>21</v>
      </c>
      <c r="S11" s="40" t="s">
        <v>560</v>
      </c>
      <c r="T11" s="59" t="s">
        <v>560</v>
      </c>
      <c r="U11" s="59" t="s">
        <v>562</v>
      </c>
      <c r="V11" s="40" t="s">
        <v>559</v>
      </c>
      <c r="W11" s="59" t="s">
        <v>561</v>
      </c>
      <c r="X11" s="57" t="s">
        <v>542</v>
      </c>
      <c r="Y11" s="59" t="s">
        <v>21</v>
      </c>
      <c r="Z11" s="42" t="s">
        <v>559</v>
      </c>
      <c r="AA11" s="59" t="s">
        <v>559</v>
      </c>
      <c r="AB11" s="59" t="s">
        <v>560</v>
      </c>
      <c r="AC11" s="40" t="s">
        <v>559</v>
      </c>
      <c r="AD11" s="40" t="s">
        <v>559</v>
      </c>
      <c r="AE11" s="57" t="s">
        <v>136</v>
      </c>
      <c r="AF11" s="59" t="s">
        <v>21</v>
      </c>
      <c r="AG11" s="40" t="s">
        <v>560</v>
      </c>
      <c r="AH11" s="40" t="s">
        <v>560</v>
      </c>
      <c r="AI11" s="59" t="s">
        <v>559</v>
      </c>
      <c r="AJ11" s="40" t="s">
        <v>559</v>
      </c>
      <c r="AK11" s="40"/>
      <c r="AL11" s="30">
        <f t="shared" si="0"/>
        <v>0</v>
      </c>
      <c r="AM11" s="25">
        <f t="shared" si="1"/>
        <v>21</v>
      </c>
      <c r="AN11" s="34">
        <f t="shared" si="3"/>
        <v>8</v>
      </c>
      <c r="AO11" s="29">
        <f t="shared" si="2"/>
        <v>8</v>
      </c>
      <c r="AP11" s="238">
        <v>5</v>
      </c>
      <c r="AR11"/>
    </row>
    <row r="12" spans="1:46" ht="22" customHeight="1">
      <c r="A12" s="701"/>
      <c r="B12" s="20">
        <v>6</v>
      </c>
      <c r="C12" s="708" t="s">
        <v>372</v>
      </c>
      <c r="D12" s="709"/>
      <c r="E12" s="673" t="s">
        <v>32</v>
      </c>
      <c r="F12" s="674"/>
      <c r="G12" s="70" t="s">
        <v>560</v>
      </c>
      <c r="H12" s="40" t="s">
        <v>2</v>
      </c>
      <c r="I12" s="71" t="s">
        <v>559</v>
      </c>
      <c r="J12" s="91" t="s">
        <v>0</v>
      </c>
      <c r="K12" s="40" t="s">
        <v>1</v>
      </c>
      <c r="L12" s="59" t="s">
        <v>559</v>
      </c>
      <c r="M12" s="59" t="s">
        <v>560</v>
      </c>
      <c r="N12" s="40" t="s">
        <v>2</v>
      </c>
      <c r="O12" s="59" t="s">
        <v>559</v>
      </c>
      <c r="P12" s="59" t="s">
        <v>559</v>
      </c>
      <c r="Q12" s="57" t="s">
        <v>21</v>
      </c>
      <c r="R12" s="40" t="s">
        <v>1</v>
      </c>
      <c r="S12" s="257" t="s">
        <v>559</v>
      </c>
      <c r="T12" s="59" t="s">
        <v>559</v>
      </c>
      <c r="U12" s="40" t="s">
        <v>559</v>
      </c>
      <c r="V12" s="40" t="s">
        <v>559</v>
      </c>
      <c r="W12" s="59" t="s">
        <v>559</v>
      </c>
      <c r="X12" s="91" t="s">
        <v>0</v>
      </c>
      <c r="Y12" s="40" t="s">
        <v>1</v>
      </c>
      <c r="Z12" s="59" t="s">
        <v>559</v>
      </c>
      <c r="AA12" s="59" t="s">
        <v>559</v>
      </c>
      <c r="AB12" s="40" t="s">
        <v>562</v>
      </c>
      <c r="AC12" s="40" t="s">
        <v>559</v>
      </c>
      <c r="AD12" s="40" t="s">
        <v>559</v>
      </c>
      <c r="AE12" s="114" t="s">
        <v>21</v>
      </c>
      <c r="AF12" s="40" t="s">
        <v>1</v>
      </c>
      <c r="AG12" s="137" t="s">
        <v>21</v>
      </c>
      <c r="AH12" s="153" t="s">
        <v>21</v>
      </c>
      <c r="AI12" s="40" t="s">
        <v>560</v>
      </c>
      <c r="AJ12" s="40" t="s">
        <v>559</v>
      </c>
      <c r="AK12" s="183"/>
      <c r="AL12" s="30">
        <f t="shared" si="0"/>
        <v>2</v>
      </c>
      <c r="AM12" s="25">
        <f t="shared" si="1"/>
        <v>20</v>
      </c>
      <c r="AN12" s="34">
        <f t="shared" ref="AN12" si="4">COUNTIF(G12:AK12,"●")</f>
        <v>8</v>
      </c>
      <c r="AO12" s="29">
        <f t="shared" ref="AO12" si="5">AN12+AL12</f>
        <v>10</v>
      </c>
      <c r="AP12" s="409">
        <v>3</v>
      </c>
      <c r="AS12"/>
      <c r="AT12"/>
    </row>
    <row r="13" spans="1:46" ht="22" customHeight="1">
      <c r="A13" s="701"/>
      <c r="B13" s="54">
        <v>7</v>
      </c>
      <c r="C13" s="710" t="s">
        <v>29</v>
      </c>
      <c r="D13" s="711"/>
      <c r="E13" s="712" t="s">
        <v>28</v>
      </c>
      <c r="F13" s="713"/>
      <c r="G13" s="236" t="s">
        <v>550</v>
      </c>
      <c r="H13" s="44" t="s">
        <v>551</v>
      </c>
      <c r="I13" s="44" t="s">
        <v>551</v>
      </c>
      <c r="J13" s="50" t="s">
        <v>21</v>
      </c>
      <c r="K13" s="93" t="s">
        <v>21</v>
      </c>
      <c r="L13" s="43" t="s">
        <v>551</v>
      </c>
      <c r="M13" s="43" t="s">
        <v>550</v>
      </c>
      <c r="N13" s="93" t="s">
        <v>2</v>
      </c>
      <c r="O13" s="43" t="s">
        <v>551</v>
      </c>
      <c r="P13" s="43" t="s">
        <v>558</v>
      </c>
      <c r="Q13" s="50" t="s">
        <v>21</v>
      </c>
      <c r="R13" s="93" t="s">
        <v>21</v>
      </c>
      <c r="S13" s="43" t="s">
        <v>550</v>
      </c>
      <c r="T13" s="43" t="s">
        <v>550</v>
      </c>
      <c r="U13" s="91" t="s">
        <v>42</v>
      </c>
      <c r="V13" s="91" t="s">
        <v>0</v>
      </c>
      <c r="W13" s="91" t="s">
        <v>42</v>
      </c>
      <c r="X13" s="50" t="s">
        <v>21</v>
      </c>
      <c r="Y13" s="93" t="s">
        <v>21</v>
      </c>
      <c r="Z13" s="43" t="s">
        <v>551</v>
      </c>
      <c r="AA13" s="43" t="s">
        <v>551</v>
      </c>
      <c r="AB13" s="93" t="s">
        <v>551</v>
      </c>
      <c r="AC13" s="109" t="s">
        <v>551</v>
      </c>
      <c r="AD13" s="43" t="s">
        <v>551</v>
      </c>
      <c r="AE13" s="50" t="s">
        <v>21</v>
      </c>
      <c r="AF13" s="93" t="s">
        <v>21</v>
      </c>
      <c r="AG13" s="44" t="s">
        <v>551</v>
      </c>
      <c r="AH13" s="44" t="s">
        <v>551</v>
      </c>
      <c r="AI13" s="44" t="s">
        <v>551</v>
      </c>
      <c r="AJ13" s="44" t="s">
        <v>551</v>
      </c>
      <c r="AK13" s="176"/>
      <c r="AL13" s="221">
        <f t="shared" si="0"/>
        <v>3</v>
      </c>
      <c r="AM13" s="260">
        <f t="shared" si="1"/>
        <v>19</v>
      </c>
      <c r="AN13" s="34">
        <f t="shared" si="3"/>
        <v>8</v>
      </c>
      <c r="AO13" s="167">
        <f t="shared" si="2"/>
        <v>11</v>
      </c>
      <c r="AP13" s="10"/>
    </row>
    <row r="14" spans="1:46" ht="22" customHeight="1">
      <c r="A14" s="701"/>
      <c r="B14" s="353">
        <v>8</v>
      </c>
      <c r="C14" s="714" t="s">
        <v>25</v>
      </c>
      <c r="D14" s="715"/>
      <c r="E14" s="785" t="s">
        <v>30</v>
      </c>
      <c r="F14" s="771"/>
      <c r="G14" s="73" t="s">
        <v>58</v>
      </c>
      <c r="H14" s="39" t="s">
        <v>551</v>
      </c>
      <c r="I14" s="48" t="s">
        <v>21</v>
      </c>
      <c r="J14" s="75" t="s">
        <v>551</v>
      </c>
      <c r="K14" s="75" t="s">
        <v>21</v>
      </c>
      <c r="L14" s="39" t="s">
        <v>550</v>
      </c>
      <c r="M14" s="137" t="s">
        <v>21</v>
      </c>
      <c r="N14" s="75" t="s">
        <v>2</v>
      </c>
      <c r="O14" s="39" t="s">
        <v>551</v>
      </c>
      <c r="P14" s="75" t="s">
        <v>550</v>
      </c>
      <c r="Q14" s="40" t="s">
        <v>541</v>
      </c>
      <c r="R14" s="75" t="s">
        <v>21</v>
      </c>
      <c r="S14" s="39" t="s">
        <v>551</v>
      </c>
      <c r="T14" s="75" t="s">
        <v>550</v>
      </c>
      <c r="U14" s="75" t="s">
        <v>51</v>
      </c>
      <c r="V14" s="75" t="s">
        <v>554</v>
      </c>
      <c r="W14" s="75" t="s">
        <v>551</v>
      </c>
      <c r="X14" s="48" t="s">
        <v>21</v>
      </c>
      <c r="Y14" s="75" t="s">
        <v>21</v>
      </c>
      <c r="Z14" s="39" t="s">
        <v>550</v>
      </c>
      <c r="AA14" s="75" t="s">
        <v>550</v>
      </c>
      <c r="AB14" s="239" t="s">
        <v>40</v>
      </c>
      <c r="AC14" s="144" t="s">
        <v>550</v>
      </c>
      <c r="AD14" s="39" t="s">
        <v>550</v>
      </c>
      <c r="AE14" s="48" t="s">
        <v>21</v>
      </c>
      <c r="AF14" s="75" t="s">
        <v>21</v>
      </c>
      <c r="AG14" s="39" t="s">
        <v>550</v>
      </c>
      <c r="AH14" s="39" t="s">
        <v>551</v>
      </c>
      <c r="AI14" s="75" t="s">
        <v>551</v>
      </c>
      <c r="AJ14" s="120" t="s">
        <v>40</v>
      </c>
      <c r="AK14" s="259"/>
      <c r="AL14" s="55">
        <f t="shared" si="0"/>
        <v>2</v>
      </c>
      <c r="AM14" s="21">
        <f t="shared" si="1"/>
        <v>20</v>
      </c>
      <c r="AN14" s="22">
        <f t="shared" si="3"/>
        <v>8</v>
      </c>
      <c r="AO14" s="27">
        <f t="shared" si="2"/>
        <v>10</v>
      </c>
      <c r="AP14" s="238">
        <v>4.5</v>
      </c>
      <c r="AQ14" s="470"/>
      <c r="AR14" s="700"/>
      <c r="AS14" s="700"/>
      <c r="AT14"/>
    </row>
    <row r="15" spans="1:46" ht="21.75" customHeight="1">
      <c r="A15" s="19" t="s">
        <v>80</v>
      </c>
      <c r="B15" s="301">
        <v>9</v>
      </c>
      <c r="C15" s="684" t="s">
        <v>49</v>
      </c>
      <c r="D15" s="685"/>
      <c r="E15" s="698" t="s">
        <v>31</v>
      </c>
      <c r="F15" s="699"/>
      <c r="G15" s="405" t="s">
        <v>42</v>
      </c>
      <c r="H15" s="59" t="s">
        <v>551</v>
      </c>
      <c r="I15" s="40" t="s">
        <v>554</v>
      </c>
      <c r="J15" s="114" t="s">
        <v>21</v>
      </c>
      <c r="K15" s="40" t="s">
        <v>21</v>
      </c>
      <c r="L15" s="59" t="s">
        <v>551</v>
      </c>
      <c r="M15" s="59" t="s">
        <v>550</v>
      </c>
      <c r="N15" s="40" t="s">
        <v>2</v>
      </c>
      <c r="O15" s="59" t="s">
        <v>550</v>
      </c>
      <c r="P15" s="137" t="s">
        <v>21</v>
      </c>
      <c r="Q15" s="59" t="s">
        <v>539</v>
      </c>
      <c r="R15" s="40" t="s">
        <v>21</v>
      </c>
      <c r="S15" s="40" t="s">
        <v>550</v>
      </c>
      <c r="T15" s="59" t="s">
        <v>551</v>
      </c>
      <c r="U15" s="107" t="s">
        <v>90</v>
      </c>
      <c r="V15" s="59" t="s">
        <v>554</v>
      </c>
      <c r="W15" s="59" t="s">
        <v>550</v>
      </c>
      <c r="X15" s="114" t="s">
        <v>21</v>
      </c>
      <c r="Y15" s="40" t="s">
        <v>21</v>
      </c>
      <c r="Z15" s="40" t="s">
        <v>551</v>
      </c>
      <c r="AA15" s="137" t="s">
        <v>21</v>
      </c>
      <c r="AB15" s="40" t="s">
        <v>550</v>
      </c>
      <c r="AC15" s="59" t="s">
        <v>551</v>
      </c>
      <c r="AD15" s="40" t="s">
        <v>551</v>
      </c>
      <c r="AE15" s="59" t="s">
        <v>551</v>
      </c>
      <c r="AF15" s="40" t="s">
        <v>21</v>
      </c>
      <c r="AG15" s="40" t="s">
        <v>551</v>
      </c>
      <c r="AH15" s="40" t="s">
        <v>551</v>
      </c>
      <c r="AI15" s="107" t="s">
        <v>90</v>
      </c>
      <c r="AJ15" s="59" t="s">
        <v>551</v>
      </c>
      <c r="AK15" s="147"/>
      <c r="AL15" s="30">
        <f t="shared" si="0"/>
        <v>1</v>
      </c>
      <c r="AM15" s="25">
        <f t="shared" si="1"/>
        <v>19</v>
      </c>
      <c r="AN15" s="26">
        <f t="shared" si="3"/>
        <v>8</v>
      </c>
      <c r="AO15" s="29">
        <f t="shared" si="2"/>
        <v>9</v>
      </c>
      <c r="AP15" s="10">
        <v>3</v>
      </c>
      <c r="AQ15"/>
      <c r="AR15" s="96"/>
      <c r="AS15" s="96"/>
    </row>
    <row r="16" spans="1:46" ht="21.75" customHeight="1">
      <c r="A16" s="19"/>
      <c r="B16" s="301">
        <v>10</v>
      </c>
      <c r="C16" s="684" t="s">
        <v>114</v>
      </c>
      <c r="D16" s="685"/>
      <c r="E16" s="698" t="s">
        <v>31</v>
      </c>
      <c r="F16" s="699"/>
      <c r="G16" s="58" t="s">
        <v>550</v>
      </c>
      <c r="H16" s="57" t="s">
        <v>1</v>
      </c>
      <c r="I16" s="40" t="s">
        <v>554</v>
      </c>
      <c r="J16" s="40" t="s">
        <v>550</v>
      </c>
      <c r="K16" s="59" t="s">
        <v>21</v>
      </c>
      <c r="L16" s="59" t="s">
        <v>551</v>
      </c>
      <c r="M16" s="59" t="s">
        <v>551</v>
      </c>
      <c r="N16" s="91" t="s">
        <v>42</v>
      </c>
      <c r="O16" s="59" t="s">
        <v>551</v>
      </c>
      <c r="P16" s="40" t="s">
        <v>550</v>
      </c>
      <c r="Q16" s="137" t="s">
        <v>21</v>
      </c>
      <c r="R16" s="59" t="s">
        <v>21</v>
      </c>
      <c r="S16" s="91" t="s">
        <v>42</v>
      </c>
      <c r="T16" s="137" t="s">
        <v>21</v>
      </c>
      <c r="U16" s="71" t="s">
        <v>551</v>
      </c>
      <c r="V16" s="40" t="s">
        <v>554</v>
      </c>
      <c r="W16" s="40" t="s">
        <v>550</v>
      </c>
      <c r="X16" s="59" t="s">
        <v>551</v>
      </c>
      <c r="Y16" s="59" t="s">
        <v>21</v>
      </c>
      <c r="Z16" s="40" t="s">
        <v>550</v>
      </c>
      <c r="AA16" s="40" t="s">
        <v>551</v>
      </c>
      <c r="AB16" s="59" t="s">
        <v>550</v>
      </c>
      <c r="AC16" s="59" t="s">
        <v>551</v>
      </c>
      <c r="AD16" s="40" t="s">
        <v>550</v>
      </c>
      <c r="AE16" s="57" t="s">
        <v>1</v>
      </c>
      <c r="AF16" s="59" t="s">
        <v>21</v>
      </c>
      <c r="AG16" s="40" t="s">
        <v>550</v>
      </c>
      <c r="AH16" s="59" t="s">
        <v>551</v>
      </c>
      <c r="AI16" s="59" t="s">
        <v>551</v>
      </c>
      <c r="AJ16" s="40" t="s">
        <v>551</v>
      </c>
      <c r="AK16" s="65"/>
      <c r="AL16" s="30">
        <f t="shared" si="0"/>
        <v>2</v>
      </c>
      <c r="AM16" s="25">
        <f t="shared" si="1"/>
        <v>20</v>
      </c>
      <c r="AN16" s="26">
        <f t="shared" si="3"/>
        <v>8</v>
      </c>
      <c r="AO16" s="29">
        <f t="shared" si="2"/>
        <v>10</v>
      </c>
      <c r="AP16" s="10">
        <v>4</v>
      </c>
      <c r="AR16" s="96"/>
      <c r="AS16" s="96"/>
    </row>
    <row r="17" spans="1:83" ht="21.75" customHeight="1">
      <c r="A17" s="19"/>
      <c r="B17" s="301">
        <v>11</v>
      </c>
      <c r="C17" s="696" t="s">
        <v>192</v>
      </c>
      <c r="D17" s="697"/>
      <c r="E17" s="698" t="s">
        <v>31</v>
      </c>
      <c r="F17" s="699"/>
      <c r="G17" s="58" t="s">
        <v>551</v>
      </c>
      <c r="H17" s="59" t="s">
        <v>551</v>
      </c>
      <c r="I17" s="40" t="s">
        <v>554</v>
      </c>
      <c r="J17" s="57" t="s">
        <v>92</v>
      </c>
      <c r="K17" s="59" t="s">
        <v>21</v>
      </c>
      <c r="L17" s="40" t="s">
        <v>551</v>
      </c>
      <c r="M17" s="59" t="s">
        <v>551</v>
      </c>
      <c r="N17" s="59" t="s">
        <v>538</v>
      </c>
      <c r="O17" s="257" t="s">
        <v>551</v>
      </c>
      <c r="P17" s="40" t="s">
        <v>550</v>
      </c>
      <c r="Q17" s="137" t="s">
        <v>21</v>
      </c>
      <c r="R17" s="59" t="s">
        <v>21</v>
      </c>
      <c r="S17" s="59" t="s">
        <v>550</v>
      </c>
      <c r="T17" s="59" t="s">
        <v>551</v>
      </c>
      <c r="U17" s="59" t="s">
        <v>551</v>
      </c>
      <c r="V17" s="59" t="s">
        <v>554</v>
      </c>
      <c r="W17" s="59" t="s">
        <v>550</v>
      </c>
      <c r="X17" s="57" t="s">
        <v>92</v>
      </c>
      <c r="Y17" s="59" t="s">
        <v>21</v>
      </c>
      <c r="Z17" s="91" t="s">
        <v>0</v>
      </c>
      <c r="AA17" s="59" t="s">
        <v>550</v>
      </c>
      <c r="AB17" s="59" t="s">
        <v>555</v>
      </c>
      <c r="AC17" s="59" t="s">
        <v>551</v>
      </c>
      <c r="AD17" s="59" t="s">
        <v>551</v>
      </c>
      <c r="AE17" s="57" t="s">
        <v>92</v>
      </c>
      <c r="AF17" s="59" t="s">
        <v>21</v>
      </c>
      <c r="AG17" s="59" t="s">
        <v>551</v>
      </c>
      <c r="AH17" s="40" t="s">
        <v>551</v>
      </c>
      <c r="AI17" s="59" t="s">
        <v>550</v>
      </c>
      <c r="AJ17" s="59" t="s">
        <v>550</v>
      </c>
      <c r="AK17" s="147"/>
      <c r="AL17" s="30">
        <f t="shared" si="0"/>
        <v>1</v>
      </c>
      <c r="AM17" s="25">
        <f t="shared" si="1"/>
        <v>21</v>
      </c>
      <c r="AN17" s="26">
        <f t="shared" si="3"/>
        <v>8</v>
      </c>
      <c r="AO17" s="29">
        <f t="shared" si="2"/>
        <v>9</v>
      </c>
      <c r="AP17" s="10">
        <v>4</v>
      </c>
      <c r="AQ17" s="689"/>
      <c r="AR17" s="689"/>
      <c r="AS17" s="653"/>
      <c r="AT17" s="653"/>
      <c r="AU17" s="156"/>
      <c r="AV17" s="157"/>
      <c r="AW17" s="157"/>
      <c r="AX17" s="218"/>
      <c r="AY17" s="157"/>
      <c r="AZ17" s="218"/>
      <c r="BA17" s="157"/>
      <c r="BB17" s="203"/>
      <c r="BC17" s="157"/>
      <c r="BD17" s="157"/>
      <c r="BE17" s="157"/>
      <c r="BF17" s="157"/>
      <c r="BG17" s="157"/>
      <c r="BH17" s="157"/>
      <c r="BI17" s="156"/>
      <c r="BJ17" s="157"/>
      <c r="BK17" s="157"/>
      <c r="BL17" s="158"/>
      <c r="BM17" s="158"/>
      <c r="BN17" s="157"/>
      <c r="BO17" s="157"/>
      <c r="BP17" s="302"/>
      <c r="BQ17" s="157"/>
      <c r="BR17" s="157"/>
      <c r="BS17" s="158"/>
      <c r="BT17" s="157"/>
      <c r="BU17" s="299"/>
      <c r="BV17" s="157"/>
      <c r="BW17" s="157"/>
      <c r="BX17" s="157"/>
      <c r="BY17" s="156"/>
      <c r="BZ17" s="159"/>
      <c r="CA17" s="161"/>
      <c r="CB17" s="160"/>
      <c r="CC17" s="160"/>
    </row>
    <row r="18" spans="1:83" ht="21.75" customHeight="1">
      <c r="A18" s="19"/>
      <c r="B18" s="301">
        <v>12</v>
      </c>
      <c r="C18" s="682" t="s">
        <v>39</v>
      </c>
      <c r="D18" s="683"/>
      <c r="E18" s="698" t="s">
        <v>31</v>
      </c>
      <c r="F18" s="699"/>
      <c r="G18" s="70" t="s">
        <v>550</v>
      </c>
      <c r="H18" s="40" t="s">
        <v>550</v>
      </c>
      <c r="I18" s="59" t="s">
        <v>550</v>
      </c>
      <c r="J18" s="59" t="s">
        <v>551</v>
      </c>
      <c r="K18" s="68" t="s">
        <v>21</v>
      </c>
      <c r="L18" s="59" t="s">
        <v>550</v>
      </c>
      <c r="M18" s="111" t="s">
        <v>40</v>
      </c>
      <c r="N18" s="40" t="s">
        <v>2</v>
      </c>
      <c r="O18" s="59" t="s">
        <v>551</v>
      </c>
      <c r="P18" s="59" t="s">
        <v>551</v>
      </c>
      <c r="Q18" s="114" t="s">
        <v>21</v>
      </c>
      <c r="R18" s="68" t="s">
        <v>21</v>
      </c>
      <c r="S18" s="40" t="s">
        <v>550</v>
      </c>
      <c r="T18" s="137" t="s">
        <v>21</v>
      </c>
      <c r="U18" s="40" t="s">
        <v>551</v>
      </c>
      <c r="V18" s="40" t="s">
        <v>551</v>
      </c>
      <c r="W18" s="59" t="s">
        <v>551</v>
      </c>
      <c r="X18" s="114" t="s">
        <v>21</v>
      </c>
      <c r="Y18" s="68" t="s">
        <v>21</v>
      </c>
      <c r="Z18" s="59" t="s">
        <v>551</v>
      </c>
      <c r="AA18" s="59" t="s">
        <v>551</v>
      </c>
      <c r="AB18" s="40" t="s">
        <v>552</v>
      </c>
      <c r="AC18" s="59" t="s">
        <v>551</v>
      </c>
      <c r="AD18" s="59" t="s">
        <v>555</v>
      </c>
      <c r="AE18" s="114" t="s">
        <v>21</v>
      </c>
      <c r="AF18" s="68" t="s">
        <v>21</v>
      </c>
      <c r="AG18" s="59" t="s">
        <v>557</v>
      </c>
      <c r="AH18" s="91" t="s">
        <v>42</v>
      </c>
      <c r="AI18" s="59" t="s">
        <v>138</v>
      </c>
      <c r="AJ18" s="59" t="s">
        <v>550</v>
      </c>
      <c r="AK18" s="65"/>
      <c r="AL18" s="30">
        <f t="shared" si="0"/>
        <v>2</v>
      </c>
      <c r="AM18" s="25">
        <f t="shared" si="1"/>
        <v>20</v>
      </c>
      <c r="AN18" s="26">
        <f t="shared" si="3"/>
        <v>8</v>
      </c>
      <c r="AO18" s="29">
        <f t="shared" si="2"/>
        <v>10</v>
      </c>
      <c r="AP18" s="238">
        <v>5</v>
      </c>
      <c r="AQ18" s="689"/>
      <c r="AR18" s="689"/>
      <c r="AS18" s="653"/>
      <c r="AT18" s="653"/>
      <c r="AU18" s="156"/>
      <c r="AV18" s="157"/>
      <c r="AW18" s="157"/>
      <c r="AX18" s="158"/>
      <c r="AY18" s="156"/>
      <c r="AZ18" s="156"/>
      <c r="BA18" s="156"/>
      <c r="BB18" s="156"/>
      <c r="BC18" s="157"/>
      <c r="BD18" s="206"/>
      <c r="BE18" s="206"/>
      <c r="BF18" s="218"/>
      <c r="BG18" s="206"/>
      <c r="BH18" s="16"/>
      <c r="BI18" s="156"/>
      <c r="BJ18" s="157"/>
      <c r="BK18" s="206"/>
      <c r="BL18" s="218"/>
      <c r="BM18" s="218"/>
      <c r="BN18" s="218"/>
      <c r="BO18" s="206"/>
      <c r="BP18" s="203"/>
      <c r="BQ18" s="157"/>
      <c r="BR18" s="206"/>
      <c r="BS18" s="218"/>
      <c r="BT18" s="218"/>
      <c r="BU18" s="306"/>
      <c r="BV18" s="218"/>
      <c r="BW18" s="203"/>
      <c r="BX18" s="157"/>
      <c r="BY18" s="157"/>
      <c r="BZ18" s="159"/>
      <c r="CA18" s="161"/>
      <c r="CB18" s="160"/>
      <c r="CC18" s="160"/>
    </row>
    <row r="19" spans="1:83" ht="22" customHeight="1">
      <c r="A19" s="19"/>
      <c r="B19" s="301">
        <v>13</v>
      </c>
      <c r="C19" s="690" t="s">
        <v>38</v>
      </c>
      <c r="D19" s="691"/>
      <c r="E19" s="686" t="s">
        <v>31</v>
      </c>
      <c r="F19" s="686"/>
      <c r="G19" s="58" t="s">
        <v>550</v>
      </c>
      <c r="H19" s="40" t="s">
        <v>550</v>
      </c>
      <c r="I19" s="40" t="s">
        <v>551</v>
      </c>
      <c r="J19" s="57" t="s">
        <v>92</v>
      </c>
      <c r="K19" s="89" t="s">
        <v>21</v>
      </c>
      <c r="L19" s="59" t="s">
        <v>556</v>
      </c>
      <c r="M19" s="59" t="s">
        <v>551</v>
      </c>
      <c r="N19" s="59" t="s">
        <v>2</v>
      </c>
      <c r="O19" s="114" t="s">
        <v>21</v>
      </c>
      <c r="P19" s="40" t="s">
        <v>550</v>
      </c>
      <c r="Q19" s="40" t="s">
        <v>549</v>
      </c>
      <c r="R19" s="89" t="s">
        <v>21</v>
      </c>
      <c r="S19" s="40" t="s">
        <v>551</v>
      </c>
      <c r="T19" s="40" t="s">
        <v>550</v>
      </c>
      <c r="U19" s="59" t="s">
        <v>550</v>
      </c>
      <c r="V19" s="40" t="s">
        <v>551</v>
      </c>
      <c r="W19" s="40" t="s">
        <v>550</v>
      </c>
      <c r="X19" s="137" t="s">
        <v>21</v>
      </c>
      <c r="Y19" s="89" t="s">
        <v>21</v>
      </c>
      <c r="Z19" s="40" t="s">
        <v>551</v>
      </c>
      <c r="AA19" s="40" t="s">
        <v>131</v>
      </c>
      <c r="AB19" s="114" t="s">
        <v>21</v>
      </c>
      <c r="AC19" s="40" t="s">
        <v>551</v>
      </c>
      <c r="AD19" s="40" t="s">
        <v>551</v>
      </c>
      <c r="AE19" s="40" t="s">
        <v>548</v>
      </c>
      <c r="AF19" s="89" t="s">
        <v>21</v>
      </c>
      <c r="AG19" s="59" t="s">
        <v>550</v>
      </c>
      <c r="AH19" s="59" t="s">
        <v>550</v>
      </c>
      <c r="AI19" s="59" t="s">
        <v>551</v>
      </c>
      <c r="AJ19" s="40" t="s">
        <v>551</v>
      </c>
      <c r="AK19" s="226"/>
      <c r="AL19" s="30">
        <f t="shared" si="0"/>
        <v>0</v>
      </c>
      <c r="AM19" s="25">
        <f t="shared" si="1"/>
        <v>22</v>
      </c>
      <c r="AN19" s="26">
        <f t="shared" si="3"/>
        <v>8</v>
      </c>
      <c r="AO19" s="29">
        <f t="shared" si="2"/>
        <v>8</v>
      </c>
      <c r="AP19" s="10">
        <v>3</v>
      </c>
      <c r="AQ19" s="303"/>
      <c r="AR19" s="692"/>
      <c r="AS19" s="692"/>
      <c r="AT19" s="693"/>
      <c r="AU19" s="693"/>
      <c r="AV19" s="158"/>
      <c r="AW19" s="157"/>
      <c r="AX19" s="157"/>
      <c r="AY19" s="158"/>
      <c r="AZ19" s="157"/>
      <c r="BA19" s="157"/>
      <c r="BB19" s="157"/>
      <c r="BC19" s="157"/>
      <c r="BD19" s="157"/>
      <c r="BE19" s="157"/>
      <c r="BF19" s="158"/>
      <c r="BG19" s="157"/>
      <c r="BH19" s="158"/>
      <c r="BI19" s="158"/>
      <c r="BJ19" s="158"/>
      <c r="BK19" s="157"/>
      <c r="BL19" s="158"/>
      <c r="BM19" s="157"/>
      <c r="BN19" s="157"/>
      <c r="BO19" s="304"/>
      <c r="BP19" s="157"/>
      <c r="BQ19" s="157"/>
      <c r="BR19" s="157"/>
      <c r="BS19" s="157"/>
      <c r="BT19" s="158"/>
      <c r="BU19" s="157"/>
      <c r="BV19" s="299"/>
      <c r="BW19" s="157"/>
      <c r="BX19" s="158"/>
      <c r="BY19" s="157"/>
      <c r="BZ19" s="158"/>
      <c r="CA19" s="305"/>
      <c r="CB19" s="161"/>
      <c r="CC19" s="161"/>
      <c r="CD19" s="161"/>
    </row>
    <row r="20" spans="1:83" ht="22" customHeight="1">
      <c r="A20" s="19"/>
      <c r="B20" s="301">
        <v>14</v>
      </c>
      <c r="C20" s="684" t="s">
        <v>200</v>
      </c>
      <c r="D20" s="685"/>
      <c r="E20" s="694" t="s">
        <v>31</v>
      </c>
      <c r="F20" s="695"/>
      <c r="G20" s="58" t="s">
        <v>551</v>
      </c>
      <c r="H20" s="59" t="s">
        <v>550</v>
      </c>
      <c r="I20" s="40" t="s">
        <v>550</v>
      </c>
      <c r="J20" s="137" t="s">
        <v>21</v>
      </c>
      <c r="K20" s="89" t="s">
        <v>21</v>
      </c>
      <c r="L20" s="40" t="s">
        <v>551</v>
      </c>
      <c r="M20" s="59" t="s">
        <v>550</v>
      </c>
      <c r="N20" s="111" t="s">
        <v>40</v>
      </c>
      <c r="O20" s="40" t="s">
        <v>551</v>
      </c>
      <c r="P20" s="59" t="s">
        <v>551</v>
      </c>
      <c r="Q20" s="114" t="s">
        <v>21</v>
      </c>
      <c r="R20" s="89" t="s">
        <v>21</v>
      </c>
      <c r="S20" s="59" t="s">
        <v>551</v>
      </c>
      <c r="T20" s="59" t="s">
        <v>550</v>
      </c>
      <c r="U20" s="91" t="s">
        <v>0</v>
      </c>
      <c r="V20" s="40" t="s">
        <v>131</v>
      </c>
      <c r="W20" s="59" t="s">
        <v>550</v>
      </c>
      <c r="X20" s="59" t="s">
        <v>550</v>
      </c>
      <c r="Y20" s="89" t="s">
        <v>21</v>
      </c>
      <c r="Z20" s="40" t="s">
        <v>551</v>
      </c>
      <c r="AA20" s="59" t="s">
        <v>551</v>
      </c>
      <c r="AB20" s="59" t="s">
        <v>551</v>
      </c>
      <c r="AC20" s="137" t="s">
        <v>21</v>
      </c>
      <c r="AD20" s="40" t="s">
        <v>550</v>
      </c>
      <c r="AE20" s="114" t="s">
        <v>21</v>
      </c>
      <c r="AF20" s="89" t="s">
        <v>21</v>
      </c>
      <c r="AG20" s="40" t="s">
        <v>550</v>
      </c>
      <c r="AH20" s="59" t="s">
        <v>550</v>
      </c>
      <c r="AI20" s="91" t="s">
        <v>42</v>
      </c>
      <c r="AJ20" s="59" t="s">
        <v>551</v>
      </c>
      <c r="AK20" s="65"/>
      <c r="AL20" s="30">
        <f t="shared" si="0"/>
        <v>3</v>
      </c>
      <c r="AM20" s="25">
        <f t="shared" si="1"/>
        <v>19</v>
      </c>
      <c r="AN20" s="26">
        <f t="shared" si="3"/>
        <v>8</v>
      </c>
      <c r="AO20" s="29">
        <f t="shared" si="2"/>
        <v>11</v>
      </c>
      <c r="AP20" s="10">
        <v>5</v>
      </c>
      <c r="AQ20" s="689"/>
      <c r="AR20" s="689"/>
      <c r="AS20" s="653"/>
      <c r="AT20" s="653"/>
      <c r="AU20" s="304"/>
      <c r="AV20" s="158"/>
      <c r="AW20" s="158"/>
      <c r="AX20" s="158"/>
      <c r="AY20" s="157"/>
      <c r="AZ20" s="157"/>
      <c r="BA20" s="158"/>
      <c r="BB20" s="156"/>
      <c r="BC20" s="158"/>
      <c r="BD20" s="158"/>
      <c r="BE20" s="489"/>
      <c r="BF20" s="157"/>
      <c r="BG20" s="156"/>
      <c r="BH20" s="158"/>
      <c r="BI20" s="158"/>
      <c r="BJ20" s="489"/>
      <c r="BK20" s="157"/>
      <c r="BL20" s="158"/>
      <c r="BM20" s="157"/>
      <c r="BN20" s="158"/>
      <c r="BO20" s="158"/>
      <c r="BP20" s="203"/>
      <c r="BQ20" s="158"/>
      <c r="BR20" s="304"/>
      <c r="BS20" s="304"/>
      <c r="BT20" s="157"/>
      <c r="BU20" s="156"/>
      <c r="BV20" s="158"/>
      <c r="BW20" s="156"/>
      <c r="BX20" s="158"/>
      <c r="BY20" s="158"/>
      <c r="BZ20" s="159"/>
      <c r="CA20" s="161"/>
      <c r="CB20" s="160"/>
      <c r="CC20" s="160"/>
    </row>
    <row r="21" spans="1:83" ht="22" customHeight="1">
      <c r="A21" s="19">
        <v>5</v>
      </c>
      <c r="B21" s="301">
        <v>15</v>
      </c>
      <c r="C21" s="684" t="s">
        <v>26</v>
      </c>
      <c r="D21" s="685"/>
      <c r="E21" s="686" t="s">
        <v>31</v>
      </c>
      <c r="F21" s="686"/>
      <c r="G21" s="58" t="s">
        <v>550</v>
      </c>
      <c r="H21" s="59" t="s">
        <v>550</v>
      </c>
      <c r="I21" s="40" t="s">
        <v>551</v>
      </c>
      <c r="J21" s="114" t="s">
        <v>21</v>
      </c>
      <c r="K21" s="47" t="s">
        <v>1</v>
      </c>
      <c r="L21" s="59" t="s">
        <v>550</v>
      </c>
      <c r="M21" s="59" t="s">
        <v>551</v>
      </c>
      <c r="N21" s="59" t="s">
        <v>2</v>
      </c>
      <c r="O21" s="59" t="s">
        <v>551</v>
      </c>
      <c r="P21" s="59" t="s">
        <v>551</v>
      </c>
      <c r="Q21" s="137" t="s">
        <v>21</v>
      </c>
      <c r="R21" s="47" t="s">
        <v>1</v>
      </c>
      <c r="S21" s="59" t="s">
        <v>551</v>
      </c>
      <c r="T21" s="59" t="s">
        <v>551</v>
      </c>
      <c r="U21" s="59" t="s">
        <v>551</v>
      </c>
      <c r="V21" s="59" t="s">
        <v>551</v>
      </c>
      <c r="W21" s="59" t="s">
        <v>550</v>
      </c>
      <c r="X21" s="137" t="s">
        <v>21</v>
      </c>
      <c r="Y21" s="47" t="s">
        <v>1</v>
      </c>
      <c r="Z21" s="59" t="s">
        <v>551</v>
      </c>
      <c r="AA21" s="59" t="s">
        <v>551</v>
      </c>
      <c r="AB21" s="59" t="s">
        <v>550</v>
      </c>
      <c r="AC21" s="111" t="s">
        <v>40</v>
      </c>
      <c r="AD21" s="114" t="s">
        <v>21</v>
      </c>
      <c r="AE21" s="59" t="s">
        <v>550</v>
      </c>
      <c r="AF21" s="47" t="s">
        <v>1</v>
      </c>
      <c r="AG21" s="40" t="s">
        <v>550</v>
      </c>
      <c r="AH21" s="230" t="s">
        <v>552</v>
      </c>
      <c r="AI21" s="59" t="s">
        <v>550</v>
      </c>
      <c r="AJ21" s="91" t="s">
        <v>157</v>
      </c>
      <c r="AK21" s="147"/>
      <c r="AL21" s="30">
        <f t="shared" si="0"/>
        <v>2</v>
      </c>
      <c r="AM21" s="25">
        <f t="shared" si="1"/>
        <v>20</v>
      </c>
      <c r="AN21" s="26">
        <f t="shared" si="3"/>
        <v>8</v>
      </c>
      <c r="AO21" s="29">
        <f t="shared" si="2"/>
        <v>10</v>
      </c>
      <c r="AP21" s="10">
        <v>5</v>
      </c>
      <c r="AQ21" s="652"/>
      <c r="AR21" s="652"/>
      <c r="AS21" s="653"/>
      <c r="AT21" s="653"/>
      <c r="AU21" s="203"/>
      <c r="AV21" s="158"/>
      <c r="AW21" s="157"/>
      <c r="AX21" s="158"/>
      <c r="AY21" s="158"/>
      <c r="AZ21" s="157"/>
      <c r="BA21" s="157"/>
      <c r="BB21" s="203"/>
      <c r="BC21" s="158"/>
      <c r="BD21" s="157"/>
      <c r="BE21" s="156"/>
      <c r="BF21" s="158"/>
      <c r="BG21" s="158"/>
      <c r="BH21" s="157"/>
      <c r="BI21" s="158"/>
      <c r="BJ21" s="158"/>
      <c r="BK21" s="158"/>
      <c r="BL21" s="158"/>
      <c r="BM21" s="158"/>
      <c r="BN21" s="158"/>
      <c r="BO21" s="158"/>
      <c r="BP21" s="203"/>
      <c r="BQ21" s="158"/>
      <c r="BR21" s="157"/>
      <c r="BS21" s="158"/>
      <c r="BT21" s="158"/>
      <c r="BU21" s="158"/>
      <c r="BV21" s="156"/>
      <c r="BW21" s="158"/>
      <c r="BX21" s="158"/>
      <c r="BY21" s="156"/>
      <c r="BZ21" s="159"/>
      <c r="CA21" s="161"/>
      <c r="CB21" s="160"/>
      <c r="CC21" s="160"/>
    </row>
    <row r="22" spans="1:83" ht="22" customHeight="1">
      <c r="A22" s="19"/>
      <c r="B22" s="301">
        <v>16</v>
      </c>
      <c r="C22" s="687" t="s">
        <v>45</v>
      </c>
      <c r="D22" s="688"/>
      <c r="E22" s="686" t="s">
        <v>31</v>
      </c>
      <c r="F22" s="686"/>
      <c r="G22" s="70" t="s">
        <v>551</v>
      </c>
      <c r="H22" s="59" t="s">
        <v>550</v>
      </c>
      <c r="I22" s="40" t="s">
        <v>550</v>
      </c>
      <c r="J22" s="91" t="s">
        <v>546</v>
      </c>
      <c r="K22" s="64" t="s">
        <v>21</v>
      </c>
      <c r="L22" s="40" t="s">
        <v>551</v>
      </c>
      <c r="M22" s="59" t="s">
        <v>550</v>
      </c>
      <c r="N22" s="40" t="s">
        <v>2</v>
      </c>
      <c r="O22" s="59" t="s">
        <v>555</v>
      </c>
      <c r="P22" s="40" t="s">
        <v>551</v>
      </c>
      <c r="Q22" s="137" t="s">
        <v>21</v>
      </c>
      <c r="R22" s="64" t="s">
        <v>21</v>
      </c>
      <c r="S22" s="40" t="s">
        <v>551</v>
      </c>
      <c r="T22" s="59" t="s">
        <v>551</v>
      </c>
      <c r="U22" s="40" t="s">
        <v>551</v>
      </c>
      <c r="V22" s="114" t="s">
        <v>21</v>
      </c>
      <c r="W22" s="59" t="s">
        <v>550</v>
      </c>
      <c r="X22" s="59" t="s">
        <v>550</v>
      </c>
      <c r="Y22" s="64" t="s">
        <v>21</v>
      </c>
      <c r="Z22" s="40" t="s">
        <v>551</v>
      </c>
      <c r="AA22" s="114" t="s">
        <v>21</v>
      </c>
      <c r="AB22" s="40" t="s">
        <v>551</v>
      </c>
      <c r="AC22" s="59" t="s">
        <v>551</v>
      </c>
      <c r="AD22" s="40" t="s">
        <v>550</v>
      </c>
      <c r="AE22" s="59" t="s">
        <v>551</v>
      </c>
      <c r="AF22" s="64" t="s">
        <v>21</v>
      </c>
      <c r="AG22" s="40" t="s">
        <v>551</v>
      </c>
      <c r="AH22" s="111" t="s">
        <v>40</v>
      </c>
      <c r="AI22" s="137" t="s">
        <v>21</v>
      </c>
      <c r="AJ22" s="40" t="s">
        <v>551</v>
      </c>
      <c r="AK22" s="226"/>
      <c r="AL22" s="30">
        <f t="shared" si="0"/>
        <v>2</v>
      </c>
      <c r="AM22" s="25">
        <f t="shared" si="1"/>
        <v>20</v>
      </c>
      <c r="AN22" s="26">
        <f t="shared" si="3"/>
        <v>8</v>
      </c>
      <c r="AO22" s="29">
        <f t="shared" si="2"/>
        <v>10</v>
      </c>
      <c r="AP22" s="10">
        <v>6</v>
      </c>
      <c r="AQ22" s="689"/>
      <c r="AR22" s="689"/>
      <c r="AS22" s="653"/>
      <c r="AT22" s="653"/>
      <c r="AU22" s="304"/>
      <c r="AV22" s="158"/>
      <c r="AW22" s="158"/>
      <c r="AX22" s="158"/>
      <c r="AY22" s="157"/>
      <c r="AZ22" s="157"/>
      <c r="BA22" s="158"/>
      <c r="BB22" s="156"/>
      <c r="BC22" s="158"/>
      <c r="BD22" s="158"/>
      <c r="BE22" s="489"/>
      <c r="BF22" s="157"/>
      <c r="BG22" s="156"/>
      <c r="BH22" s="158"/>
      <c r="BI22" s="158"/>
      <c r="BJ22" s="489"/>
      <c r="BK22" s="157"/>
      <c r="BL22" s="158"/>
      <c r="BM22" s="157"/>
      <c r="BN22" s="158"/>
      <c r="BO22" s="158"/>
      <c r="BP22" s="203"/>
      <c r="BQ22" s="158"/>
      <c r="BR22" s="304"/>
      <c r="BS22" s="304"/>
      <c r="BT22" s="157"/>
      <c r="BU22" s="156"/>
      <c r="BV22" s="158"/>
      <c r="BW22" s="156"/>
      <c r="BX22" s="158"/>
      <c r="BY22" s="189"/>
    </row>
    <row r="23" spans="1:83" ht="22" customHeight="1">
      <c r="A23" s="19"/>
      <c r="B23" s="301">
        <v>17</v>
      </c>
      <c r="C23" s="682" t="s">
        <v>95</v>
      </c>
      <c r="D23" s="683"/>
      <c r="E23" s="673" t="s">
        <v>31</v>
      </c>
      <c r="F23" s="674"/>
      <c r="G23" s="58" t="s">
        <v>551</v>
      </c>
      <c r="H23" s="40" t="s">
        <v>551</v>
      </c>
      <c r="I23" s="40" t="s">
        <v>550</v>
      </c>
      <c r="J23" s="126" t="s">
        <v>547</v>
      </c>
      <c r="K23" s="47" t="s">
        <v>21</v>
      </c>
      <c r="L23" s="59" t="s">
        <v>551</v>
      </c>
      <c r="M23" s="59" t="s">
        <v>551</v>
      </c>
      <c r="N23" s="59" t="s">
        <v>2</v>
      </c>
      <c r="O23" s="40" t="s">
        <v>550</v>
      </c>
      <c r="P23" s="59" t="s">
        <v>551</v>
      </c>
      <c r="Q23" s="137" t="s">
        <v>21</v>
      </c>
      <c r="R23" s="47" t="s">
        <v>21</v>
      </c>
      <c r="S23" s="114" t="s">
        <v>21</v>
      </c>
      <c r="T23" s="59" t="s">
        <v>97</v>
      </c>
      <c r="U23" s="59" t="s">
        <v>550</v>
      </c>
      <c r="V23" s="59" t="s">
        <v>551</v>
      </c>
      <c r="W23" s="40" t="s">
        <v>551</v>
      </c>
      <c r="X23" s="40" t="s">
        <v>548</v>
      </c>
      <c r="Y23" s="47" t="s">
        <v>21</v>
      </c>
      <c r="Z23" s="114" t="s">
        <v>21</v>
      </c>
      <c r="AA23" s="59" t="s">
        <v>550</v>
      </c>
      <c r="AB23" s="59" t="s">
        <v>156</v>
      </c>
      <c r="AC23" s="59" t="s">
        <v>96</v>
      </c>
      <c r="AD23" s="59" t="s">
        <v>560</v>
      </c>
      <c r="AE23" s="57" t="s">
        <v>92</v>
      </c>
      <c r="AF23" s="47" t="s">
        <v>21</v>
      </c>
      <c r="AG23" s="40" t="s">
        <v>550</v>
      </c>
      <c r="AH23" s="40" t="s">
        <v>2</v>
      </c>
      <c r="AI23" s="59" t="s">
        <v>550</v>
      </c>
      <c r="AJ23" s="59" t="s">
        <v>551</v>
      </c>
      <c r="AK23" s="65"/>
      <c r="AL23" s="30">
        <f t="shared" si="0"/>
        <v>0</v>
      </c>
      <c r="AM23" s="25">
        <f t="shared" si="1"/>
        <v>22</v>
      </c>
      <c r="AN23" s="26">
        <f t="shared" si="3"/>
        <v>8</v>
      </c>
      <c r="AO23" s="29">
        <f t="shared" si="2"/>
        <v>8</v>
      </c>
      <c r="AP23" s="10">
        <v>5.5</v>
      </c>
      <c r="AR23" s="96"/>
      <c r="AS23" s="96"/>
    </row>
    <row r="24" spans="1:83" ht="22" customHeight="1">
      <c r="A24" s="19"/>
      <c r="B24" s="54">
        <v>18</v>
      </c>
      <c r="C24" s="675" t="s">
        <v>48</v>
      </c>
      <c r="D24" s="676"/>
      <c r="E24" s="677" t="s">
        <v>31</v>
      </c>
      <c r="F24" s="677"/>
      <c r="G24" s="142" t="s">
        <v>550</v>
      </c>
      <c r="H24" s="93" t="s">
        <v>550</v>
      </c>
      <c r="I24" s="234" t="s">
        <v>90</v>
      </c>
      <c r="J24" s="531" t="s">
        <v>21</v>
      </c>
      <c r="K24" s="102" t="s">
        <v>1</v>
      </c>
      <c r="L24" s="93" t="s">
        <v>551</v>
      </c>
      <c r="M24" s="114" t="s">
        <v>21</v>
      </c>
      <c r="N24" s="43" t="s">
        <v>2</v>
      </c>
      <c r="O24" s="43" t="s">
        <v>551</v>
      </c>
      <c r="P24" s="43" t="s">
        <v>550</v>
      </c>
      <c r="Q24" s="93" t="s">
        <v>541</v>
      </c>
      <c r="R24" s="102" t="s">
        <v>1</v>
      </c>
      <c r="S24" s="43" t="s">
        <v>550</v>
      </c>
      <c r="T24" s="93" t="s">
        <v>551</v>
      </c>
      <c r="U24" s="43" t="s">
        <v>551</v>
      </c>
      <c r="V24" s="93" t="s">
        <v>550</v>
      </c>
      <c r="W24" s="93" t="s">
        <v>551</v>
      </c>
      <c r="X24" s="141" t="s">
        <v>21</v>
      </c>
      <c r="Y24" s="102" t="s">
        <v>1</v>
      </c>
      <c r="Z24" s="43" t="s">
        <v>551</v>
      </c>
      <c r="AA24" s="43" t="s">
        <v>550</v>
      </c>
      <c r="AB24" s="43" t="s">
        <v>551</v>
      </c>
      <c r="AC24" s="93" t="s">
        <v>550</v>
      </c>
      <c r="AD24" s="93" t="s">
        <v>550</v>
      </c>
      <c r="AE24" s="137" t="s">
        <v>21</v>
      </c>
      <c r="AF24" s="102" t="s">
        <v>1</v>
      </c>
      <c r="AG24" s="234" t="s">
        <v>545</v>
      </c>
      <c r="AH24" s="93" t="s">
        <v>551</v>
      </c>
      <c r="AI24" s="43" t="s">
        <v>551</v>
      </c>
      <c r="AJ24" s="93" t="s">
        <v>550</v>
      </c>
      <c r="AK24" s="95"/>
      <c r="AL24" s="221">
        <f t="shared" si="0"/>
        <v>0</v>
      </c>
      <c r="AM24" s="260">
        <f t="shared" si="1"/>
        <v>20</v>
      </c>
      <c r="AN24" s="26">
        <f t="shared" ref="AN24" si="6">COUNTIF(G24:AK24,"●")</f>
        <v>8</v>
      </c>
      <c r="AO24" s="29">
        <f t="shared" ref="AO24" si="7">AN24+AL24</f>
        <v>8</v>
      </c>
      <c r="AP24" s="10">
        <v>4</v>
      </c>
      <c r="AR24" s="300"/>
      <c r="AS24" s="652"/>
      <c r="AT24" s="652"/>
      <c r="AU24" s="653"/>
      <c r="AV24" s="653"/>
      <c r="AW24" s="203"/>
      <c r="AX24" s="157"/>
      <c r="AY24" s="157"/>
      <c r="AZ24" s="298"/>
      <c r="BA24" s="157"/>
      <c r="BB24" s="156"/>
      <c r="BC24" s="157"/>
      <c r="BD24" s="157"/>
      <c r="BE24" s="157"/>
      <c r="BF24" s="204"/>
      <c r="BG24" s="157"/>
      <c r="BH24" s="157"/>
      <c r="BI24" s="298"/>
      <c r="BJ24" s="157"/>
      <c r="BK24" s="157"/>
      <c r="BL24" s="157"/>
      <c r="BM24" s="204"/>
      <c r="BN24" s="156"/>
      <c r="BO24" s="157"/>
      <c r="BP24" s="157"/>
      <c r="BQ24" s="157"/>
      <c r="BR24" s="203"/>
      <c r="BS24" s="157"/>
      <c r="BT24" s="157"/>
      <c r="BU24" s="158"/>
      <c r="BV24" s="157"/>
      <c r="BW24" s="299"/>
      <c r="BX24" s="157"/>
      <c r="BY24" s="157"/>
      <c r="BZ24" s="157"/>
      <c r="CA24" s="157"/>
      <c r="CB24" s="159"/>
      <c r="CC24" s="161"/>
      <c r="CD24" s="160"/>
      <c r="CE24" s="160"/>
    </row>
    <row r="25" spans="1:83" ht="22" customHeight="1">
      <c r="A25" s="19"/>
      <c r="B25" s="416">
        <v>19</v>
      </c>
      <c r="C25" s="678" t="s">
        <v>197</v>
      </c>
      <c r="D25" s="679"/>
      <c r="E25" s="680" t="s">
        <v>94</v>
      </c>
      <c r="F25" s="681"/>
      <c r="G25" s="348" t="s">
        <v>551</v>
      </c>
      <c r="H25" s="49" t="s">
        <v>551</v>
      </c>
      <c r="I25" s="115" t="s">
        <v>550</v>
      </c>
      <c r="J25" s="292" t="s">
        <v>21</v>
      </c>
      <c r="K25" s="290" t="s">
        <v>21</v>
      </c>
      <c r="L25" s="291" t="s">
        <v>551</v>
      </c>
      <c r="M25" s="291" t="s">
        <v>550</v>
      </c>
      <c r="N25" s="290" t="s">
        <v>2</v>
      </c>
      <c r="O25" s="291" t="s">
        <v>550</v>
      </c>
      <c r="P25" s="291" t="s">
        <v>551</v>
      </c>
      <c r="Q25" s="292" t="s">
        <v>540</v>
      </c>
      <c r="R25" s="290" t="s">
        <v>21</v>
      </c>
      <c r="S25" s="291" t="s">
        <v>551</v>
      </c>
      <c r="T25" s="291" t="s">
        <v>550</v>
      </c>
      <c r="U25" s="290" t="s">
        <v>551</v>
      </c>
      <c r="V25" s="291" t="s">
        <v>551</v>
      </c>
      <c r="W25" s="291" t="s">
        <v>550</v>
      </c>
      <c r="X25" s="292" t="s">
        <v>21</v>
      </c>
      <c r="Y25" s="290" t="s">
        <v>21</v>
      </c>
      <c r="Z25" s="291" t="s">
        <v>551</v>
      </c>
      <c r="AA25" s="291" t="s">
        <v>551</v>
      </c>
      <c r="AB25" s="290" t="s">
        <v>550</v>
      </c>
      <c r="AC25" s="494" t="s">
        <v>550</v>
      </c>
      <c r="AD25" s="291" t="s">
        <v>551</v>
      </c>
      <c r="AE25" s="292" t="s">
        <v>21</v>
      </c>
      <c r="AF25" s="290" t="s">
        <v>21</v>
      </c>
      <c r="AG25" s="49" t="s">
        <v>550</v>
      </c>
      <c r="AH25" s="111" t="s">
        <v>40</v>
      </c>
      <c r="AI25" s="63" t="s">
        <v>551</v>
      </c>
      <c r="AJ25" s="536" t="s">
        <v>551</v>
      </c>
      <c r="AK25" s="537"/>
      <c r="AL25" s="532">
        <f t="shared" si="0"/>
        <v>1</v>
      </c>
      <c r="AM25" s="533">
        <f t="shared" si="1"/>
        <v>21</v>
      </c>
      <c r="AN25" s="534">
        <f t="shared" si="3"/>
        <v>8</v>
      </c>
      <c r="AO25" s="535">
        <f t="shared" si="2"/>
        <v>9</v>
      </c>
      <c r="AP25" s="10"/>
      <c r="AR25" s="652"/>
      <c r="AS25" s="652"/>
      <c r="AT25" s="653"/>
      <c r="AU25" s="653"/>
      <c r="AV25" s="203"/>
      <c r="AW25" s="157"/>
      <c r="AX25" s="157"/>
      <c r="AY25" s="298"/>
      <c r="AZ25" s="157"/>
      <c r="BA25" s="156"/>
      <c r="BB25" s="157"/>
      <c r="BC25" s="203"/>
      <c r="BD25" s="157"/>
      <c r="BE25" s="204"/>
      <c r="BF25" s="298"/>
      <c r="BG25" s="157"/>
      <c r="BH25" s="158"/>
      <c r="BI25" s="157"/>
      <c r="BJ25" s="298"/>
      <c r="BK25" s="157"/>
      <c r="BL25" s="204"/>
      <c r="BM25" s="156"/>
      <c r="BN25" s="157"/>
      <c r="BO25" s="298"/>
      <c r="BP25" s="157"/>
      <c r="BQ25" s="156"/>
      <c r="BR25" s="157"/>
      <c r="BS25" s="157"/>
      <c r="BT25" s="156"/>
      <c r="BU25" s="157"/>
      <c r="BV25" s="299"/>
      <c r="BW25" s="157"/>
      <c r="BX25" s="203"/>
      <c r="BY25" s="157"/>
      <c r="BZ25" s="157"/>
      <c r="CA25" s="159"/>
      <c r="CB25" s="161"/>
      <c r="CC25" s="160"/>
      <c r="CD25" s="160"/>
    </row>
    <row r="26" spans="1:83" ht="22.5" customHeight="1">
      <c r="A26" s="659"/>
      <c r="B26" s="660" t="s">
        <v>3</v>
      </c>
      <c r="C26" s="661"/>
      <c r="D26" s="661"/>
      <c r="E26" s="662"/>
      <c r="F26" s="297" t="s">
        <v>2</v>
      </c>
      <c r="G26" s="512">
        <f>COUNTIF(G6:G23,"D")</f>
        <v>16</v>
      </c>
      <c r="H26" s="386">
        <f>COUNTIF(H6:H24,"D")</f>
        <v>16</v>
      </c>
      <c r="I26" s="386">
        <f t="shared" ref="I26:J26" si="8">COUNTIF(I6:I24,"D")</f>
        <v>15</v>
      </c>
      <c r="J26" s="386">
        <f t="shared" si="8"/>
        <v>6</v>
      </c>
      <c r="K26" s="386">
        <f t="shared" ref="K26:AH26" si="9">COUNTIF(K6:K24,"D")</f>
        <v>0</v>
      </c>
      <c r="L26" s="386">
        <f t="shared" si="9"/>
        <v>18</v>
      </c>
      <c r="M26" s="386">
        <f t="shared" si="9"/>
        <v>14</v>
      </c>
      <c r="N26" s="386">
        <f t="shared" si="9"/>
        <v>14</v>
      </c>
      <c r="O26" s="386">
        <f t="shared" si="9"/>
        <v>16</v>
      </c>
      <c r="P26" s="386">
        <f t="shared" si="9"/>
        <v>17</v>
      </c>
      <c r="Q26" s="386">
        <f t="shared" si="9"/>
        <v>6</v>
      </c>
      <c r="R26" s="386">
        <f t="shared" si="9"/>
        <v>0</v>
      </c>
      <c r="S26" s="386">
        <f t="shared" si="9"/>
        <v>16</v>
      </c>
      <c r="T26" s="386">
        <f t="shared" si="9"/>
        <v>16</v>
      </c>
      <c r="U26" s="386">
        <f t="shared" si="9"/>
        <v>14</v>
      </c>
      <c r="V26" s="386">
        <f t="shared" si="9"/>
        <v>15</v>
      </c>
      <c r="W26" s="386">
        <f t="shared" si="9"/>
        <v>17</v>
      </c>
      <c r="X26" s="386">
        <f t="shared" si="9"/>
        <v>6</v>
      </c>
      <c r="Y26" s="386">
        <f t="shared" si="9"/>
        <v>0</v>
      </c>
      <c r="Z26" s="386">
        <f t="shared" si="9"/>
        <v>14</v>
      </c>
      <c r="AA26" s="386">
        <f t="shared" si="9"/>
        <v>15</v>
      </c>
      <c r="AB26" s="386">
        <f t="shared" si="9"/>
        <v>16</v>
      </c>
      <c r="AC26" s="386">
        <f t="shared" si="9"/>
        <v>15</v>
      </c>
      <c r="AD26" s="386">
        <f t="shared" si="9"/>
        <v>15</v>
      </c>
      <c r="AE26" s="386">
        <f t="shared" si="9"/>
        <v>6</v>
      </c>
      <c r="AF26" s="386">
        <f t="shared" si="9"/>
        <v>0</v>
      </c>
      <c r="AG26" s="386">
        <f t="shared" si="9"/>
        <v>16</v>
      </c>
      <c r="AH26" s="60">
        <f t="shared" si="9"/>
        <v>14</v>
      </c>
      <c r="AI26" s="210">
        <f t="shared" ref="AI26:AK26" si="10">COUNTIF(AI6:AI23,"D")</f>
        <v>14</v>
      </c>
      <c r="AJ26" s="211">
        <f t="shared" si="10"/>
        <v>13</v>
      </c>
      <c r="AK26" s="4">
        <f t="shared" si="10"/>
        <v>0</v>
      </c>
      <c r="AL26" s="307">
        <f t="shared" si="0"/>
        <v>0</v>
      </c>
      <c r="AM26" s="293">
        <f t="shared" si="1"/>
        <v>0</v>
      </c>
      <c r="AN26" s="294">
        <f t="shared" si="3"/>
        <v>0</v>
      </c>
      <c r="AO26" s="295">
        <f t="shared" si="2"/>
        <v>0</v>
      </c>
      <c r="AP26" s="10"/>
    </row>
    <row r="27" spans="1:83" ht="22.5" customHeight="1">
      <c r="A27" s="659"/>
      <c r="B27" s="663" t="s">
        <v>4</v>
      </c>
      <c r="C27" s="664"/>
      <c r="D27" s="664"/>
      <c r="E27" s="665"/>
      <c r="F27" s="2" t="s">
        <v>1</v>
      </c>
      <c r="G27" s="14">
        <f t="shared" ref="G27:AK27" si="11">COUNTIF(G6:G25,"●")</f>
        <v>0</v>
      </c>
      <c r="H27" s="14">
        <f t="shared" si="11"/>
        <v>2</v>
      </c>
      <c r="I27" s="14">
        <f t="shared" si="11"/>
        <v>1</v>
      </c>
      <c r="J27" s="14">
        <f t="shared" si="11"/>
        <v>11</v>
      </c>
      <c r="K27" s="14">
        <f t="shared" si="11"/>
        <v>20</v>
      </c>
      <c r="L27" s="14">
        <f t="shared" si="11"/>
        <v>0</v>
      </c>
      <c r="M27" s="14">
        <f t="shared" si="11"/>
        <v>3</v>
      </c>
      <c r="N27" s="14">
        <f t="shared" si="11"/>
        <v>1</v>
      </c>
      <c r="O27" s="14">
        <f t="shared" si="11"/>
        <v>2</v>
      </c>
      <c r="P27" s="14">
        <f t="shared" si="11"/>
        <v>1</v>
      </c>
      <c r="Q27" s="14">
        <f t="shared" si="11"/>
        <v>13</v>
      </c>
      <c r="R27" s="14">
        <f t="shared" si="11"/>
        <v>20</v>
      </c>
      <c r="S27" s="14">
        <f t="shared" si="11"/>
        <v>1</v>
      </c>
      <c r="T27" s="14">
        <f t="shared" si="11"/>
        <v>2</v>
      </c>
      <c r="U27" s="14">
        <f t="shared" si="11"/>
        <v>1</v>
      </c>
      <c r="V27" s="14">
        <f t="shared" si="11"/>
        <v>2</v>
      </c>
      <c r="W27" s="14">
        <f t="shared" si="11"/>
        <v>0</v>
      </c>
      <c r="X27" s="14">
        <f t="shared" si="11"/>
        <v>12</v>
      </c>
      <c r="Y27" s="14">
        <f t="shared" si="11"/>
        <v>20</v>
      </c>
      <c r="Z27" s="14">
        <f t="shared" si="11"/>
        <v>1</v>
      </c>
      <c r="AA27" s="14">
        <f t="shared" si="11"/>
        <v>3</v>
      </c>
      <c r="AB27" s="14">
        <f t="shared" si="11"/>
        <v>1</v>
      </c>
      <c r="AC27" s="14">
        <f t="shared" si="11"/>
        <v>2</v>
      </c>
      <c r="AD27" s="14">
        <f t="shared" si="11"/>
        <v>2</v>
      </c>
      <c r="AE27" s="14">
        <f t="shared" si="11"/>
        <v>13</v>
      </c>
      <c r="AF27" s="14">
        <f t="shared" si="11"/>
        <v>20</v>
      </c>
      <c r="AG27" s="14">
        <f t="shared" si="11"/>
        <v>1</v>
      </c>
      <c r="AH27" s="14">
        <f t="shared" si="11"/>
        <v>1</v>
      </c>
      <c r="AI27" s="14">
        <f t="shared" si="11"/>
        <v>1</v>
      </c>
      <c r="AJ27" s="14">
        <f t="shared" si="11"/>
        <v>0</v>
      </c>
      <c r="AK27" s="14">
        <f t="shared" si="11"/>
        <v>0</v>
      </c>
      <c r="AL27" s="666" t="s">
        <v>174</v>
      </c>
      <c r="AM27" s="667"/>
      <c r="AN27" s="667"/>
      <c r="AO27" s="668"/>
      <c r="AP27" s="10"/>
    </row>
    <row r="28" spans="1:83" ht="22.5" customHeight="1" thickBot="1">
      <c r="A28" s="743"/>
      <c r="B28" s="670" t="s">
        <v>5</v>
      </c>
      <c r="C28" s="671"/>
      <c r="D28" s="671"/>
      <c r="E28" s="672"/>
      <c r="F28" s="3" t="s">
        <v>0</v>
      </c>
      <c r="G28" s="14">
        <f t="shared" ref="G28:AK28" si="12">COUNTIF(G6:G25,"▲")</f>
        <v>1</v>
      </c>
      <c r="H28" s="14">
        <f t="shared" si="12"/>
        <v>0</v>
      </c>
      <c r="I28" s="14">
        <f t="shared" si="12"/>
        <v>0</v>
      </c>
      <c r="J28" s="14">
        <f t="shared" si="12"/>
        <v>2</v>
      </c>
      <c r="K28" s="14">
        <f t="shared" si="12"/>
        <v>0</v>
      </c>
      <c r="L28" s="14">
        <f t="shared" si="12"/>
        <v>0</v>
      </c>
      <c r="M28" s="14">
        <f t="shared" si="12"/>
        <v>1</v>
      </c>
      <c r="N28" s="14">
        <f t="shared" si="12"/>
        <v>2</v>
      </c>
      <c r="O28" s="14">
        <f t="shared" si="12"/>
        <v>0</v>
      </c>
      <c r="P28" s="14">
        <f t="shared" si="12"/>
        <v>0</v>
      </c>
      <c r="Q28" s="14">
        <f t="shared" si="12"/>
        <v>0</v>
      </c>
      <c r="R28" s="14">
        <f t="shared" si="12"/>
        <v>0</v>
      </c>
      <c r="S28" s="14">
        <f t="shared" si="12"/>
        <v>1</v>
      </c>
      <c r="T28" s="14">
        <f t="shared" si="12"/>
        <v>0</v>
      </c>
      <c r="U28" s="14">
        <f t="shared" si="12"/>
        <v>2</v>
      </c>
      <c r="V28" s="14">
        <f t="shared" si="12"/>
        <v>1</v>
      </c>
      <c r="W28" s="14">
        <f t="shared" si="12"/>
        <v>1</v>
      </c>
      <c r="X28" s="14">
        <f t="shared" si="12"/>
        <v>1</v>
      </c>
      <c r="Y28" s="14">
        <f t="shared" si="12"/>
        <v>0</v>
      </c>
      <c r="Z28" s="14">
        <f t="shared" si="12"/>
        <v>1</v>
      </c>
      <c r="AA28" s="14">
        <f t="shared" si="12"/>
        <v>0</v>
      </c>
      <c r="AB28" s="14">
        <f t="shared" si="12"/>
        <v>1</v>
      </c>
      <c r="AC28" s="14">
        <f t="shared" si="12"/>
        <v>1</v>
      </c>
      <c r="AD28" s="14">
        <f t="shared" si="12"/>
        <v>1</v>
      </c>
      <c r="AE28" s="14">
        <f t="shared" si="12"/>
        <v>0</v>
      </c>
      <c r="AF28" s="14">
        <f t="shared" si="12"/>
        <v>0</v>
      </c>
      <c r="AG28" s="14">
        <f t="shared" si="12"/>
        <v>0</v>
      </c>
      <c r="AH28" s="14">
        <f t="shared" si="12"/>
        <v>4</v>
      </c>
      <c r="AI28" s="14">
        <f t="shared" si="12"/>
        <v>1</v>
      </c>
      <c r="AJ28" s="14">
        <f t="shared" si="12"/>
        <v>4</v>
      </c>
      <c r="AK28" s="14">
        <f t="shared" si="12"/>
        <v>0</v>
      </c>
      <c r="AL28" s="52" t="s">
        <v>19</v>
      </c>
      <c r="AM28" s="649" t="s">
        <v>17</v>
      </c>
      <c r="AN28" s="650"/>
      <c r="AO28" s="651"/>
      <c r="AP28" s="10"/>
    </row>
    <row r="29" spans="1:83" ht="22.5" customHeight="1" thickTop="1" thickBot="1">
      <c r="A29" s="743"/>
      <c r="B29" s="654"/>
      <c r="C29" s="654"/>
      <c r="D29" s="654"/>
      <c r="E29" s="654"/>
      <c r="F29" s="654"/>
      <c r="G29" s="286"/>
      <c r="H29" s="651" t="s">
        <v>93</v>
      </c>
      <c r="I29" s="655"/>
      <c r="J29" s="655"/>
      <c r="K29" s="3" t="s">
        <v>543</v>
      </c>
      <c r="L29" s="649" t="s">
        <v>5</v>
      </c>
      <c r="M29" s="651"/>
      <c r="N29" s="5" t="s">
        <v>68</v>
      </c>
      <c r="O29" s="656" t="s">
        <v>177</v>
      </c>
      <c r="P29" s="657"/>
      <c r="Q29" s="658"/>
      <c r="R29" s="5" t="s">
        <v>91</v>
      </c>
      <c r="S29" s="656" t="s">
        <v>179</v>
      </c>
      <c r="T29" s="657"/>
      <c r="U29" s="658"/>
      <c r="V29" s="6" t="s">
        <v>56</v>
      </c>
      <c r="W29" s="644" t="s">
        <v>178</v>
      </c>
      <c r="X29" s="645"/>
      <c r="Y29" s="645"/>
      <c r="Z29" s="6" t="s">
        <v>83</v>
      </c>
      <c r="AA29" s="644" t="s">
        <v>180</v>
      </c>
      <c r="AB29" s="645"/>
      <c r="AC29" s="645"/>
      <c r="AD29" s="152" t="s">
        <v>1</v>
      </c>
      <c r="AE29" s="646" t="s">
        <v>175</v>
      </c>
      <c r="AF29" s="647"/>
      <c r="AG29" s="648"/>
      <c r="AH29" s="513" t="s">
        <v>21</v>
      </c>
      <c r="AI29" s="649" t="s">
        <v>4</v>
      </c>
      <c r="AJ29" s="650"/>
      <c r="AK29" s="651"/>
      <c r="AL29" s="13" t="s">
        <v>20</v>
      </c>
      <c r="AM29" s="649" t="s">
        <v>18</v>
      </c>
      <c r="AN29" s="650"/>
      <c r="AO29" s="651"/>
      <c r="AP29" s="10"/>
    </row>
    <row r="30" spans="1:83" customFormat="1" ht="19" thickTop="1">
      <c r="B30" s="8"/>
      <c r="C30" s="652"/>
      <c r="D30" s="652"/>
      <c r="E30" s="653"/>
      <c r="F30" s="653"/>
      <c r="G30" s="156"/>
      <c r="H30" s="158"/>
      <c r="I30" s="157"/>
      <c r="J30" s="158"/>
      <c r="K30" s="158"/>
      <c r="L30" s="158"/>
      <c r="M30" s="158"/>
      <c r="N30" s="203"/>
      <c r="O30" s="158"/>
      <c r="P30" s="158"/>
      <c r="Q30" s="203"/>
      <c r="R30" s="157"/>
      <c r="S30" s="157"/>
      <c r="T30" s="158"/>
      <c r="U30" s="158"/>
      <c r="V30" s="158"/>
      <c r="W30" s="158"/>
      <c r="X30" s="157"/>
      <c r="Y30" s="157"/>
      <c r="Z30" s="157"/>
      <c r="AA30" s="158"/>
      <c r="AB30" s="203"/>
      <c r="AC30" s="158"/>
      <c r="AD30" s="158"/>
      <c r="AE30" s="203"/>
      <c r="AF30" s="157"/>
      <c r="AG30" s="158"/>
      <c r="AH30" s="158"/>
      <c r="AI30" s="157"/>
      <c r="AJ30" s="158"/>
      <c r="AK30" s="158"/>
      <c r="AN30" s="9"/>
      <c r="AO30" s="11"/>
    </row>
    <row r="31" spans="1:83" s="11" customFormat="1" ht="18">
      <c r="A31" s="1"/>
      <c r="B31" s="652"/>
      <c r="C31" s="652"/>
      <c r="D31" s="652"/>
      <c r="E31" s="652"/>
      <c r="F31" s="653"/>
      <c r="G31" s="653"/>
      <c r="H31" s="156"/>
      <c r="I31" s="158"/>
      <c r="J31" s="157"/>
      <c r="K31" s="158"/>
      <c r="L31" s="158"/>
      <c r="M31" s="157"/>
      <c r="N31" s="157"/>
      <c r="O31" s="203"/>
      <c r="P31" s="158"/>
      <c r="Q31" s="157"/>
      <c r="R31" s="157"/>
      <c r="S31" s="158"/>
      <c r="T31" s="158"/>
      <c r="U31" s="218"/>
      <c r="V31" s="158"/>
      <c r="W31" s="158"/>
      <c r="X31" s="158"/>
      <c r="Y31" s="158"/>
      <c r="Z31" s="156"/>
      <c r="AA31" s="158"/>
      <c r="AB31" s="158"/>
      <c r="AC31" s="158"/>
      <c r="AD31" s="158"/>
      <c r="AE31" s="157"/>
      <c r="AF31" s="158"/>
      <c r="AG31" s="156"/>
      <c r="AH31" s="158"/>
      <c r="AI31" s="158"/>
      <c r="AJ31" s="158"/>
      <c r="AK31" s="158"/>
      <c r="AL31" s="156"/>
      <c r="AM31" s="160"/>
      <c r="AN31" s="160"/>
      <c r="AP31" s="12"/>
      <c r="AQ31" s="1"/>
      <c r="AR31" s="1"/>
      <c r="AS31" s="1"/>
      <c r="AT31" s="1"/>
    </row>
    <row r="32" spans="1:83" s="11" customFormat="1">
      <c r="A32" s="1"/>
      <c r="B32" s="1"/>
      <c r="C32" s="1"/>
      <c r="D32" s="1"/>
      <c r="E32" s="1"/>
      <c r="F32" s="1"/>
      <c r="G32"/>
      <c r="H32" s="1"/>
      <c r="I32" s="1"/>
      <c r="J32" s="8"/>
      <c r="K32" s="8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7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9"/>
      <c r="AP32" s="12"/>
      <c r="AQ32" s="1"/>
      <c r="AR32" s="1"/>
      <c r="AS32" s="1"/>
      <c r="AT32" s="1"/>
    </row>
    <row r="33" spans="1:46" s="11" customFormat="1" ht="18">
      <c r="A33" s="1"/>
      <c r="B33" s="1"/>
      <c r="C33" s="1"/>
      <c r="D33" s="1"/>
      <c r="E33" s="1"/>
      <c r="F33" s="1"/>
      <c r="G33" s="17"/>
      <c r="H33" s="17"/>
      <c r="I33" s="17"/>
      <c r="J33" s="17"/>
      <c r="K33" s="15"/>
      <c r="L33" s="17"/>
      <c r="M33" s="17"/>
      <c r="N33" s="17"/>
      <c r="O33" s="17"/>
      <c r="P33" s="17"/>
      <c r="Q33" s="17"/>
      <c r="R33" s="15"/>
      <c r="S33" s="17"/>
      <c r="T33" s="16"/>
      <c r="U33" s="16"/>
      <c r="V33" s="16"/>
      <c r="W33" s="16"/>
      <c r="X33" s="16"/>
      <c r="Y33" s="15"/>
      <c r="Z33" s="16"/>
      <c r="AA33" s="16"/>
      <c r="AB33" s="16"/>
      <c r="AC33" s="16"/>
      <c r="AD33" s="16"/>
      <c r="AE33" s="16"/>
      <c r="AF33" s="15" t="s">
        <v>41</v>
      </c>
      <c r="AG33" s="16"/>
      <c r="AH33" s="16"/>
      <c r="AI33" s="16"/>
      <c r="AJ33" s="16"/>
      <c r="AK33" s="16"/>
      <c r="AL33" s="1"/>
      <c r="AM33" s="1"/>
      <c r="AN33" s="9"/>
      <c r="AP33" s="12"/>
      <c r="AQ33" s="1"/>
      <c r="AR33" s="1"/>
      <c r="AS33" s="1"/>
      <c r="AT33" s="1"/>
    </row>
    <row r="34" spans="1:46" s="11" customFormat="1">
      <c r="A34" s="1"/>
      <c r="B34" s="1"/>
      <c r="C34" s="1"/>
      <c r="D34" s="1"/>
      <c r="E34" s="1"/>
      <c r="F34" s="1"/>
      <c r="G34"/>
      <c r="H34" s="1"/>
      <c r="I34" s="1"/>
      <c r="J34" s="8"/>
      <c r="K34" s="8"/>
      <c r="L34" s="1"/>
      <c r="M34" t="s">
        <v>27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7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9"/>
      <c r="AP34" s="12"/>
      <c r="AQ34" s="1"/>
      <c r="AR34" s="1"/>
      <c r="AS34" s="1"/>
      <c r="AT34" s="1"/>
    </row>
    <row r="35" spans="1:46" s="11" customFormat="1">
      <c r="A35" s="1"/>
      <c r="B35" s="1"/>
      <c r="C35" s="1"/>
      <c r="D35" s="1"/>
      <c r="E35" s="1"/>
      <c r="F35" s="1"/>
      <c r="G35"/>
      <c r="H35" s="1"/>
      <c r="I35" s="1"/>
      <c r="J35" s="8"/>
      <c r="K35" s="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7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9"/>
      <c r="AP35" s="12"/>
      <c r="AQ35" s="1"/>
      <c r="AR35" s="1"/>
      <c r="AS35" s="1"/>
      <c r="AT35" s="1"/>
    </row>
    <row r="36" spans="1:46" s="11" customFormat="1">
      <c r="A36" s="1"/>
      <c r="B36" s="1"/>
      <c r="C36" s="1"/>
      <c r="D36" s="1"/>
      <c r="E36" s="1"/>
      <c r="F36" s="1"/>
      <c r="G36"/>
      <c r="H36" s="1"/>
      <c r="I36" s="1"/>
      <c r="J36" s="8"/>
      <c r="K36" s="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7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9"/>
      <c r="AP36" s="12"/>
      <c r="AQ36" s="1"/>
      <c r="AR36" s="1"/>
      <c r="AS36" s="1"/>
      <c r="AT36" s="1"/>
    </row>
    <row r="37" spans="1:46" s="11" customFormat="1">
      <c r="A37" s="1"/>
      <c r="B37" s="1"/>
      <c r="C37" s="1"/>
      <c r="D37" s="1"/>
      <c r="E37" s="1"/>
      <c r="F37" s="1"/>
      <c r="G37"/>
      <c r="H37" s="1"/>
      <c r="I37" s="1"/>
      <c r="J37" s="8"/>
      <c r="K37" s="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7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9"/>
      <c r="AP37" s="12"/>
      <c r="AQ37" s="1"/>
      <c r="AR37" s="1"/>
      <c r="AS37" s="1"/>
      <c r="AT37" s="1"/>
    </row>
    <row r="38" spans="1:46" s="11" customFormat="1">
      <c r="A38" s="1"/>
      <c r="B38" s="1"/>
      <c r="C38" s="1"/>
      <c r="D38" s="1"/>
      <c r="E38" s="1"/>
      <c r="F38" s="1"/>
      <c r="G38"/>
      <c r="H38" s="1"/>
      <c r="I38" s="1"/>
      <c r="J38" s="8"/>
      <c r="K38" s="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7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9"/>
      <c r="AP38" s="12"/>
      <c r="AQ38" s="1"/>
      <c r="AR38" s="1"/>
      <c r="AS38" s="1"/>
      <c r="AT38" s="1"/>
    </row>
    <row r="39" spans="1:46" s="11" customFormat="1">
      <c r="A39" s="1"/>
      <c r="B39" s="1"/>
      <c r="C39" s="1"/>
      <c r="D39" s="1"/>
      <c r="E39" s="1"/>
      <c r="F39" s="1"/>
      <c r="G39"/>
      <c r="H39" s="1"/>
      <c r="I39" s="1"/>
      <c r="J39" s="8"/>
      <c r="K39" s="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7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9"/>
      <c r="AP39" s="12"/>
      <c r="AQ39" s="1"/>
      <c r="AR39" s="1"/>
      <c r="AS39" s="1"/>
      <c r="AT39" s="1"/>
    </row>
    <row r="40" spans="1:46" s="11" customFormat="1">
      <c r="A40" s="1"/>
      <c r="B40" s="1"/>
      <c r="C40" s="1"/>
      <c r="D40" s="1"/>
      <c r="E40" s="1"/>
      <c r="F40" s="1"/>
      <c r="G40"/>
      <c r="H40" s="1"/>
      <c r="I40" s="1"/>
      <c r="J40" s="8"/>
      <c r="K40" s="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7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9"/>
      <c r="AP40" s="12"/>
      <c r="AQ40" s="1"/>
      <c r="AR40" s="1"/>
      <c r="AS40" s="1"/>
      <c r="AT40" s="1"/>
    </row>
    <row r="41" spans="1:46" s="11" customFormat="1">
      <c r="A41" s="1"/>
      <c r="B41" s="1"/>
      <c r="C41" s="1"/>
      <c r="D41" s="1"/>
      <c r="E41" s="1"/>
      <c r="F41" s="1"/>
      <c r="G41"/>
      <c r="H41" s="1"/>
      <c r="I41" s="1"/>
      <c r="J41" s="8"/>
      <c r="K41" s="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7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9"/>
      <c r="AP41" s="12"/>
      <c r="AQ41" s="1"/>
      <c r="AR41" s="1"/>
      <c r="AS41" s="1"/>
      <c r="AT41" s="1"/>
    </row>
    <row r="42" spans="1:46" s="11" customFormat="1">
      <c r="A42" s="1"/>
      <c r="B42" s="1"/>
      <c r="C42" s="1"/>
      <c r="D42" s="1"/>
      <c r="E42" s="1"/>
      <c r="F42" s="1"/>
      <c r="G42"/>
      <c r="H42" s="1"/>
      <c r="I42" s="1"/>
      <c r="J42" s="8"/>
      <c r="K42" s="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7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9"/>
      <c r="AP42" s="12"/>
      <c r="AQ42" s="1"/>
      <c r="AR42" s="1"/>
      <c r="AS42" s="1"/>
      <c r="AT42" s="1"/>
    </row>
    <row r="43" spans="1:46" s="11" customFormat="1">
      <c r="A43" s="1"/>
      <c r="B43" s="1"/>
      <c r="C43" s="1"/>
      <c r="D43" s="1"/>
      <c r="E43" s="1"/>
      <c r="F43" s="1"/>
      <c r="G43"/>
      <c r="H43" s="1"/>
      <c r="I43" s="1"/>
      <c r="J43" s="8"/>
      <c r="K43" s="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7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9"/>
      <c r="AP43" s="12"/>
      <c r="AQ43" s="1"/>
      <c r="AR43" s="1"/>
      <c r="AS43" s="1"/>
      <c r="AT43" s="1"/>
    </row>
    <row r="44" spans="1:46" s="11" customFormat="1">
      <c r="A44" s="1"/>
      <c r="B44" s="1"/>
      <c r="C44" s="1"/>
      <c r="D44" s="1"/>
      <c r="E44" s="1"/>
      <c r="F44" s="1"/>
      <c r="G44"/>
      <c r="H44" s="1"/>
      <c r="I44" s="1"/>
      <c r="J44" s="8"/>
      <c r="K44" s="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7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9"/>
      <c r="AP44" s="12"/>
      <c r="AQ44" s="1"/>
      <c r="AR44" s="1"/>
      <c r="AS44" s="1"/>
      <c r="AT44" s="1"/>
    </row>
    <row r="45" spans="1:46" s="11" customFormat="1">
      <c r="A45" s="1"/>
      <c r="B45" s="1"/>
      <c r="C45" s="1"/>
      <c r="D45" s="1"/>
      <c r="E45" s="1"/>
      <c r="F45" s="1"/>
      <c r="G45"/>
      <c r="H45" s="1"/>
      <c r="I45" s="1"/>
      <c r="J45" s="8"/>
      <c r="K45" s="8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7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9"/>
      <c r="AP45" s="12"/>
      <c r="AQ45" s="1"/>
      <c r="AR45" s="1"/>
      <c r="AS45" s="1"/>
      <c r="AT45" s="1"/>
    </row>
    <row r="46" spans="1:46" s="11" customFormat="1">
      <c r="A46" s="1"/>
      <c r="B46" s="1"/>
      <c r="C46" s="1"/>
      <c r="D46" s="1"/>
      <c r="E46" s="1"/>
      <c r="F46" s="1"/>
      <c r="G46"/>
      <c r="H46" s="1"/>
      <c r="I46" s="1"/>
      <c r="J46" s="8"/>
      <c r="K46" s="8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7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9"/>
      <c r="AP46" s="12"/>
      <c r="AQ46" s="1"/>
      <c r="AR46" s="1"/>
      <c r="AS46" s="1"/>
      <c r="AT46" s="1"/>
    </row>
    <row r="47" spans="1:46">
      <c r="Y47" s="1"/>
      <c r="AD47" s="1"/>
    </row>
    <row r="48" spans="1:46" ht="40">
      <c r="R48" s="125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527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71" priority="11" operator="equal">
      <formula>8</formula>
    </cfRule>
    <cfRule type="cellIs" dxfId="70" priority="12" operator="equal">
      <formula>0</formula>
    </cfRule>
  </conditionalFormatting>
  <conditionalFormatting sqref="BZ20:BZ21">
    <cfRule type="cellIs" dxfId="69" priority="5" operator="equal">
      <formula>8</formula>
    </cfRule>
    <cfRule type="cellIs" dxfId="68" priority="6" operator="equal">
      <formula>0</formula>
    </cfRule>
  </conditionalFormatting>
  <conditionalFormatting sqref="CA19">
    <cfRule type="cellIs" dxfId="67" priority="1" operator="equal">
      <formula>8</formula>
    </cfRule>
    <cfRule type="cellIs" dxfId="66" priority="2" operator="equal">
      <formula>0</formula>
    </cfRule>
  </conditionalFormatting>
  <conditionalFormatting sqref="CA25">
    <cfRule type="cellIs" dxfId="65" priority="3" operator="equal">
      <formula>8</formula>
    </cfRule>
    <cfRule type="cellIs" dxfId="64" priority="4" operator="equal">
      <formula>0</formula>
    </cfRule>
  </conditionalFormatting>
  <conditionalFormatting sqref="CB24">
    <cfRule type="cellIs" dxfId="63" priority="7" operator="equal">
      <formula>8</formula>
    </cfRule>
    <cfRule type="cellIs" dxfId="62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B10" sqref="A10:XFD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8" customWidth="1"/>
    <col min="12" max="24" width="3.6640625" style="1" customWidth="1"/>
    <col min="25" max="25" width="3.6640625" style="38" customWidth="1"/>
    <col min="26" max="28" width="3.6640625" style="1" customWidth="1"/>
    <col min="29" max="29" width="3.6640625" style="7" customWidth="1"/>
    <col min="30" max="30" width="3.6640625" style="41" customWidth="1"/>
    <col min="31" max="39" width="3.6640625" style="1" customWidth="1"/>
    <col min="40" max="40" width="8.6640625" style="9" customWidth="1"/>
    <col min="41" max="41" width="5.1640625" style="11" customWidth="1"/>
    <col min="42" max="42" width="9" style="12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18"/>
      <c r="B1" s="729" t="s">
        <v>565</v>
      </c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  <c r="AA1" s="729"/>
      <c r="AB1" s="729"/>
      <c r="AC1" s="729"/>
      <c r="AD1" s="729"/>
      <c r="AE1" s="729"/>
      <c r="AF1" s="729"/>
      <c r="AG1" s="729"/>
      <c r="AH1" s="729"/>
      <c r="AI1" s="729"/>
      <c r="AJ1" s="729"/>
      <c r="AK1" s="729"/>
      <c r="AL1" s="729"/>
      <c r="AM1" s="729"/>
      <c r="AN1" s="729"/>
      <c r="AO1" s="729"/>
    </row>
    <row r="2" spans="1:46" ht="22.5" customHeight="1">
      <c r="A2" s="1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29"/>
      <c r="AB2" s="729"/>
      <c r="AC2" s="729"/>
      <c r="AD2" s="729"/>
      <c r="AE2" s="729"/>
      <c r="AF2" s="729"/>
      <c r="AG2" s="729"/>
      <c r="AH2" s="729"/>
      <c r="AI2" s="729"/>
      <c r="AJ2" s="729"/>
      <c r="AK2" s="729"/>
      <c r="AL2" s="729"/>
      <c r="AM2" s="729"/>
      <c r="AN2" s="729"/>
      <c r="AO2" s="729"/>
    </row>
    <row r="3" spans="1:46" ht="22.5" customHeight="1">
      <c r="A3" s="18"/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R3" s="730"/>
      <c r="S3" s="730"/>
      <c r="T3" s="730"/>
      <c r="U3" s="730"/>
      <c r="V3" s="730"/>
      <c r="W3" s="730"/>
      <c r="X3" s="730"/>
      <c r="Y3" s="730"/>
      <c r="Z3" s="730"/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</row>
    <row r="4" spans="1:46" ht="25" customHeight="1">
      <c r="B4" s="731"/>
      <c r="C4" s="733" t="s">
        <v>6</v>
      </c>
      <c r="D4" s="734"/>
      <c r="E4" s="734"/>
      <c r="F4" s="735"/>
      <c r="G4" s="310">
        <v>1</v>
      </c>
      <c r="H4" s="127">
        <v>2</v>
      </c>
      <c r="I4" s="51">
        <v>3</v>
      </c>
      <c r="J4" s="37">
        <v>4</v>
      </c>
      <c r="K4" s="127">
        <v>5</v>
      </c>
      <c r="L4" s="37">
        <v>6</v>
      </c>
      <c r="M4" s="37">
        <v>7</v>
      </c>
      <c r="N4" s="37">
        <v>8</v>
      </c>
      <c r="O4" s="127">
        <v>9</v>
      </c>
      <c r="P4" s="51">
        <v>10</v>
      </c>
      <c r="Q4" s="37">
        <v>11</v>
      </c>
      <c r="R4" s="37">
        <v>12</v>
      </c>
      <c r="S4" s="37">
        <v>13</v>
      </c>
      <c r="T4" s="37">
        <v>14</v>
      </c>
      <c r="U4" s="37">
        <v>15</v>
      </c>
      <c r="V4" s="127">
        <v>16</v>
      </c>
      <c r="W4" s="51">
        <v>17</v>
      </c>
      <c r="X4" s="37">
        <v>18</v>
      </c>
      <c r="Y4" s="37">
        <v>19</v>
      </c>
      <c r="Z4" s="37">
        <v>20</v>
      </c>
      <c r="AA4" s="37">
        <v>21</v>
      </c>
      <c r="AB4" s="37">
        <v>22</v>
      </c>
      <c r="AC4" s="127">
        <v>23</v>
      </c>
      <c r="AD4" s="51">
        <v>24</v>
      </c>
      <c r="AE4" s="127">
        <v>25</v>
      </c>
      <c r="AF4" s="37">
        <v>26</v>
      </c>
      <c r="AG4" s="37">
        <v>27</v>
      </c>
      <c r="AH4" s="37">
        <v>28</v>
      </c>
      <c r="AI4" s="37">
        <v>29</v>
      </c>
      <c r="AJ4" s="127">
        <v>30</v>
      </c>
      <c r="AK4" s="406">
        <v>31</v>
      </c>
      <c r="AL4" s="736" t="s">
        <v>35</v>
      </c>
      <c r="AM4" s="737"/>
      <c r="AN4" s="737"/>
      <c r="AO4" s="738"/>
      <c r="AP4" s="10"/>
    </row>
    <row r="5" spans="1:46" ht="25" customHeight="1">
      <c r="B5" s="732"/>
      <c r="C5" s="739" t="s">
        <v>7</v>
      </c>
      <c r="D5" s="740"/>
      <c r="E5" s="741" t="s">
        <v>8</v>
      </c>
      <c r="F5" s="742"/>
      <c r="G5" s="184" t="s">
        <v>85</v>
      </c>
      <c r="H5" s="186" t="s">
        <v>564</v>
      </c>
      <c r="I5" s="188" t="s">
        <v>13</v>
      </c>
      <c r="J5" s="185" t="s">
        <v>14</v>
      </c>
      <c r="K5" s="186" t="s">
        <v>15</v>
      </c>
      <c r="L5" s="185" t="s">
        <v>9</v>
      </c>
      <c r="M5" s="185" t="s">
        <v>10</v>
      </c>
      <c r="N5" s="185" t="s">
        <v>11</v>
      </c>
      <c r="O5" s="186" t="s">
        <v>12</v>
      </c>
      <c r="P5" s="188" t="s">
        <v>13</v>
      </c>
      <c r="Q5" s="185" t="s">
        <v>14</v>
      </c>
      <c r="R5" s="185" t="s">
        <v>15</v>
      </c>
      <c r="S5" s="185" t="s">
        <v>9</v>
      </c>
      <c r="T5" s="185" t="s">
        <v>10</v>
      </c>
      <c r="U5" s="185" t="s">
        <v>11</v>
      </c>
      <c r="V5" s="186" t="s">
        <v>12</v>
      </c>
      <c r="W5" s="188" t="s">
        <v>13</v>
      </c>
      <c r="X5" s="185" t="s">
        <v>14</v>
      </c>
      <c r="Y5" s="185" t="s">
        <v>15</v>
      </c>
      <c r="Z5" s="185" t="s">
        <v>9</v>
      </c>
      <c r="AA5" s="185" t="s">
        <v>10</v>
      </c>
      <c r="AB5" s="185" t="s">
        <v>11</v>
      </c>
      <c r="AC5" s="186" t="s">
        <v>12</v>
      </c>
      <c r="AD5" s="188" t="s">
        <v>13</v>
      </c>
      <c r="AE5" s="186" t="s">
        <v>14</v>
      </c>
      <c r="AF5" s="185" t="s">
        <v>15</v>
      </c>
      <c r="AG5" s="185" t="s">
        <v>9</v>
      </c>
      <c r="AH5" s="185" t="s">
        <v>10</v>
      </c>
      <c r="AI5" s="185" t="s">
        <v>11</v>
      </c>
      <c r="AJ5" s="186" t="s">
        <v>12</v>
      </c>
      <c r="AK5" s="241" t="s">
        <v>13</v>
      </c>
      <c r="AL5" s="3" t="s">
        <v>0</v>
      </c>
      <c r="AM5" s="35" t="s">
        <v>2</v>
      </c>
      <c r="AN5" s="253" t="s">
        <v>1</v>
      </c>
      <c r="AO5" s="36" t="s">
        <v>16</v>
      </c>
      <c r="AP5" s="10"/>
    </row>
    <row r="6" spans="1:46" ht="22" customHeight="1">
      <c r="B6" s="353">
        <v>1</v>
      </c>
      <c r="C6" s="718" t="s">
        <v>191</v>
      </c>
      <c r="D6" s="719"/>
      <c r="E6" s="720" t="s">
        <v>34</v>
      </c>
      <c r="F6" s="721"/>
      <c r="G6" s="256" t="s">
        <v>21</v>
      </c>
      <c r="H6" s="48" t="s">
        <v>21</v>
      </c>
      <c r="I6" s="75" t="s">
        <v>566</v>
      </c>
      <c r="J6" s="53" t="s">
        <v>582</v>
      </c>
      <c r="K6" s="233" t="s">
        <v>21</v>
      </c>
      <c r="L6" s="39" t="s">
        <v>582</v>
      </c>
      <c r="M6" s="39" t="s">
        <v>582</v>
      </c>
      <c r="N6" s="144" t="s">
        <v>592</v>
      </c>
      <c r="O6" s="48" t="s">
        <v>21</v>
      </c>
      <c r="P6" s="75" t="s">
        <v>566</v>
      </c>
      <c r="Q6" s="53" t="s">
        <v>582</v>
      </c>
      <c r="R6" s="75" t="s">
        <v>595</v>
      </c>
      <c r="S6" s="39" t="s">
        <v>582</v>
      </c>
      <c r="T6" s="39" t="s">
        <v>582</v>
      </c>
      <c r="U6" s="75" t="s">
        <v>582</v>
      </c>
      <c r="V6" s="48" t="s">
        <v>21</v>
      </c>
      <c r="W6" s="75" t="s">
        <v>566</v>
      </c>
      <c r="X6" s="39" t="s">
        <v>582</v>
      </c>
      <c r="Y6" s="75" t="s">
        <v>582</v>
      </c>
      <c r="Z6" s="53" t="s">
        <v>582</v>
      </c>
      <c r="AA6" s="39" t="s">
        <v>582</v>
      </c>
      <c r="AB6" s="75" t="s">
        <v>582</v>
      </c>
      <c r="AC6" s="181" t="s">
        <v>21</v>
      </c>
      <c r="AD6" s="75" t="s">
        <v>566</v>
      </c>
      <c r="AE6" s="48" t="s">
        <v>21</v>
      </c>
      <c r="AF6" s="75" t="s">
        <v>582</v>
      </c>
      <c r="AG6" s="39" t="s">
        <v>586</v>
      </c>
      <c r="AH6" s="39" t="s">
        <v>582</v>
      </c>
      <c r="AI6" s="75" t="s">
        <v>582</v>
      </c>
      <c r="AJ6" s="48" t="s">
        <v>21</v>
      </c>
      <c r="AK6" s="75" t="s">
        <v>566</v>
      </c>
      <c r="AL6" s="55">
        <f t="shared" ref="AL6:AL26" si="0">COUNTIF(G6:AK6,"▲")</f>
        <v>0</v>
      </c>
      <c r="AM6" s="21">
        <f t="shared" ref="AM6:AM26" si="1">COUNTIF(G6:AK6,"D")</f>
        <v>18</v>
      </c>
      <c r="AN6" s="22">
        <f t="shared" ref="AN6:AN26" si="2">COUNTIF(G6:AK6,"●")</f>
        <v>13</v>
      </c>
      <c r="AO6" s="27">
        <f t="shared" ref="AO6:AO26" si="3">AN6+AL6</f>
        <v>13</v>
      </c>
      <c r="AP6" s="10"/>
    </row>
    <row r="7" spans="1:46" ht="21.75" customHeight="1">
      <c r="B7" s="54">
        <v>2</v>
      </c>
      <c r="C7" s="710" t="s">
        <v>22</v>
      </c>
      <c r="D7" s="722"/>
      <c r="E7" s="723" t="s">
        <v>23</v>
      </c>
      <c r="F7" s="724"/>
      <c r="G7" s="100" t="s">
        <v>574</v>
      </c>
      <c r="H7" s="50" t="s">
        <v>21</v>
      </c>
      <c r="I7" s="46" t="s">
        <v>21</v>
      </c>
      <c r="J7" s="43" t="s">
        <v>582</v>
      </c>
      <c r="K7" s="46" t="s">
        <v>582</v>
      </c>
      <c r="L7" s="93" t="s">
        <v>582</v>
      </c>
      <c r="M7" s="93" t="s">
        <v>160</v>
      </c>
      <c r="N7" s="93" t="s">
        <v>51</v>
      </c>
      <c r="O7" s="50" t="s">
        <v>21</v>
      </c>
      <c r="P7" s="46" t="s">
        <v>21</v>
      </c>
      <c r="Q7" s="43" t="s">
        <v>582</v>
      </c>
      <c r="R7" s="174" t="s">
        <v>19</v>
      </c>
      <c r="S7" s="93" t="s">
        <v>582</v>
      </c>
      <c r="T7" s="43" t="s">
        <v>586</v>
      </c>
      <c r="U7" s="93" t="s">
        <v>582</v>
      </c>
      <c r="V7" s="50" t="s">
        <v>21</v>
      </c>
      <c r="W7" s="46" t="s">
        <v>21</v>
      </c>
      <c r="X7" s="43" t="s">
        <v>582</v>
      </c>
      <c r="Y7" s="43" t="s">
        <v>582</v>
      </c>
      <c r="Z7" s="50" t="s">
        <v>614</v>
      </c>
      <c r="AA7" s="43" t="s">
        <v>578</v>
      </c>
      <c r="AB7" s="93" t="s">
        <v>582</v>
      </c>
      <c r="AC7" s="50" t="s">
        <v>21</v>
      </c>
      <c r="AD7" s="93" t="s">
        <v>21</v>
      </c>
      <c r="AE7" s="43" t="s">
        <v>575</v>
      </c>
      <c r="AF7" s="93" t="s">
        <v>160</v>
      </c>
      <c r="AG7" s="93" t="s">
        <v>582</v>
      </c>
      <c r="AH7" s="43" t="s">
        <v>582</v>
      </c>
      <c r="AI7" s="50" t="s">
        <v>21</v>
      </c>
      <c r="AJ7" s="50" t="s">
        <v>21</v>
      </c>
      <c r="AK7" s="46" t="s">
        <v>21</v>
      </c>
      <c r="AL7" s="221">
        <f t="shared" si="0"/>
        <v>0</v>
      </c>
      <c r="AM7" s="260">
        <f t="shared" si="1"/>
        <v>18</v>
      </c>
      <c r="AN7" s="32">
        <v>12</v>
      </c>
      <c r="AO7" s="167">
        <f t="shared" si="3"/>
        <v>12</v>
      </c>
      <c r="AP7" s="10"/>
      <c r="AQ7"/>
      <c r="AT7"/>
    </row>
    <row r="8" spans="1:46" ht="22" customHeight="1">
      <c r="B8" s="353">
        <v>3</v>
      </c>
      <c r="C8" s="725" t="s">
        <v>36</v>
      </c>
      <c r="D8" s="726"/>
      <c r="E8" s="727" t="s">
        <v>37</v>
      </c>
      <c r="F8" s="728"/>
      <c r="G8" s="380" t="s">
        <v>579</v>
      </c>
      <c r="H8" s="75" t="s">
        <v>579</v>
      </c>
      <c r="I8" s="75" t="s">
        <v>21</v>
      </c>
      <c r="J8" s="75" t="s">
        <v>2</v>
      </c>
      <c r="K8" s="75" t="s">
        <v>605</v>
      </c>
      <c r="L8" s="57" t="s">
        <v>21</v>
      </c>
      <c r="M8" s="56" t="s">
        <v>21</v>
      </c>
      <c r="N8" s="75" t="s">
        <v>164</v>
      </c>
      <c r="O8" s="75" t="s">
        <v>578</v>
      </c>
      <c r="P8" s="75" t="s">
        <v>21</v>
      </c>
      <c r="Q8" s="71" t="s">
        <v>605</v>
      </c>
      <c r="R8" s="71" t="s">
        <v>127</v>
      </c>
      <c r="S8" s="57" t="s">
        <v>21</v>
      </c>
      <c r="T8" s="75" t="s">
        <v>605</v>
      </c>
      <c r="U8" s="57" t="s">
        <v>21</v>
      </c>
      <c r="V8" s="75" t="s">
        <v>605</v>
      </c>
      <c r="W8" s="75" t="s">
        <v>21</v>
      </c>
      <c r="X8" s="71" t="s">
        <v>605</v>
      </c>
      <c r="Y8" s="57" t="s">
        <v>21</v>
      </c>
      <c r="Z8" s="71" t="s">
        <v>606</v>
      </c>
      <c r="AA8" s="91" t="s">
        <v>40</v>
      </c>
      <c r="AB8" s="75" t="s">
        <v>605</v>
      </c>
      <c r="AC8" s="98" t="s">
        <v>605</v>
      </c>
      <c r="AD8" s="75" t="s">
        <v>21</v>
      </c>
      <c r="AE8" s="71" t="s">
        <v>579</v>
      </c>
      <c r="AF8" s="71" t="s">
        <v>132</v>
      </c>
      <c r="AG8" s="114" t="s">
        <v>21</v>
      </c>
      <c r="AH8" s="57" t="s">
        <v>21</v>
      </c>
      <c r="AI8" s="75" t="s">
        <v>605</v>
      </c>
      <c r="AJ8" s="257" t="s">
        <v>605</v>
      </c>
      <c r="AK8" s="75" t="s">
        <v>21</v>
      </c>
      <c r="AL8" s="124">
        <f t="shared" si="0"/>
        <v>1</v>
      </c>
      <c r="AM8" s="33">
        <f t="shared" si="1"/>
        <v>18</v>
      </c>
      <c r="AN8" s="22">
        <f t="shared" si="2"/>
        <v>12</v>
      </c>
      <c r="AO8" s="27">
        <f t="shared" si="3"/>
        <v>13</v>
      </c>
      <c r="AP8" s="10"/>
      <c r="AR8"/>
    </row>
    <row r="9" spans="1:46" ht="22" hidden="1" customHeight="1">
      <c r="A9" s="701"/>
      <c r="B9" s="20">
        <v>4</v>
      </c>
      <c r="C9" s="781"/>
      <c r="D9" s="782"/>
      <c r="E9" s="704"/>
      <c r="F9" s="705"/>
      <c r="G9" s="70"/>
      <c r="H9" s="388"/>
      <c r="I9" s="40" t="s">
        <v>1</v>
      </c>
      <c r="J9" s="59"/>
      <c r="K9" s="40"/>
      <c r="L9" s="59"/>
      <c r="M9" s="59"/>
      <c r="N9" s="40"/>
      <c r="O9" s="59"/>
      <c r="P9" s="40" t="s">
        <v>1</v>
      </c>
      <c r="Q9" s="59"/>
      <c r="R9" s="40"/>
      <c r="S9" s="40"/>
      <c r="T9" s="59"/>
      <c r="U9" s="40"/>
      <c r="V9" s="40"/>
      <c r="W9" s="40" t="s">
        <v>1</v>
      </c>
      <c r="X9" s="59"/>
      <c r="Y9" s="40"/>
      <c r="Z9" s="44"/>
      <c r="AA9" s="59"/>
      <c r="AB9" s="40"/>
      <c r="AC9" s="59"/>
      <c r="AD9" s="40" t="s">
        <v>1</v>
      </c>
      <c r="AE9" s="59"/>
      <c r="AF9" s="40"/>
      <c r="AG9" s="57"/>
      <c r="AH9" s="59"/>
      <c r="AI9" s="40"/>
      <c r="AJ9" s="59"/>
      <c r="AK9" s="40" t="s">
        <v>1</v>
      </c>
      <c r="AL9" s="30">
        <f t="shared" si="0"/>
        <v>0</v>
      </c>
      <c r="AM9" s="25">
        <f t="shared" si="1"/>
        <v>0</v>
      </c>
      <c r="AN9" s="26">
        <f t="shared" si="2"/>
        <v>5</v>
      </c>
      <c r="AO9" s="29"/>
      <c r="AP9" s="10"/>
      <c r="AR9" t="s">
        <v>168</v>
      </c>
      <c r="AS9" t="s">
        <v>169</v>
      </c>
      <c r="AT9" t="s">
        <v>170</v>
      </c>
    </row>
    <row r="10" spans="1:46" ht="22" customHeight="1">
      <c r="A10" s="701"/>
      <c r="B10" s="20">
        <v>4</v>
      </c>
      <c r="C10" s="702" t="s">
        <v>46</v>
      </c>
      <c r="D10" s="703"/>
      <c r="E10" s="704" t="s">
        <v>24</v>
      </c>
      <c r="F10" s="705"/>
      <c r="G10" s="58" t="s">
        <v>570</v>
      </c>
      <c r="H10" s="137" t="s">
        <v>21</v>
      </c>
      <c r="I10" s="59" t="s">
        <v>21</v>
      </c>
      <c r="J10" s="59" t="s">
        <v>107</v>
      </c>
      <c r="K10" s="59" t="s">
        <v>570</v>
      </c>
      <c r="L10" s="59" t="s">
        <v>570</v>
      </c>
      <c r="M10" s="59" t="s">
        <v>567</v>
      </c>
      <c r="N10" s="59" t="s">
        <v>51</v>
      </c>
      <c r="O10" s="40" t="s">
        <v>571</v>
      </c>
      <c r="P10" s="59" t="s">
        <v>21</v>
      </c>
      <c r="Q10" s="57" t="s">
        <v>21</v>
      </c>
      <c r="R10" s="59" t="s">
        <v>586</v>
      </c>
      <c r="S10" s="40" t="s">
        <v>586</v>
      </c>
      <c r="T10" s="57" t="s">
        <v>21</v>
      </c>
      <c r="U10" s="40" t="s">
        <v>586</v>
      </c>
      <c r="V10" s="40" t="s">
        <v>572</v>
      </c>
      <c r="W10" s="59" t="s">
        <v>21</v>
      </c>
      <c r="X10" s="40" t="s">
        <v>596</v>
      </c>
      <c r="Y10" s="89" t="s">
        <v>586</v>
      </c>
      <c r="Z10" s="57" t="s">
        <v>21</v>
      </c>
      <c r="AA10" s="47" t="s">
        <v>586</v>
      </c>
      <c r="AB10" s="57" t="s">
        <v>21</v>
      </c>
      <c r="AC10" s="59" t="s">
        <v>571</v>
      </c>
      <c r="AD10" s="59" t="s">
        <v>21</v>
      </c>
      <c r="AE10" s="59" t="s">
        <v>102</v>
      </c>
      <c r="AF10" s="114" t="s">
        <v>21</v>
      </c>
      <c r="AG10" s="40" t="s">
        <v>586</v>
      </c>
      <c r="AH10" s="57" t="s">
        <v>47</v>
      </c>
      <c r="AI10" s="40" t="s">
        <v>51</v>
      </c>
      <c r="AJ10" s="40" t="s">
        <v>574</v>
      </c>
      <c r="AK10" s="59" t="s">
        <v>21</v>
      </c>
      <c r="AL10" s="30">
        <f t="shared" si="0"/>
        <v>0</v>
      </c>
      <c r="AM10" s="25">
        <f t="shared" si="1"/>
        <v>19</v>
      </c>
      <c r="AN10" s="26">
        <f t="shared" si="2"/>
        <v>12</v>
      </c>
      <c r="AO10" s="29">
        <f t="shared" si="3"/>
        <v>12</v>
      </c>
      <c r="AP10" s="10">
        <v>3</v>
      </c>
      <c r="AQ10"/>
      <c r="AR10"/>
      <c r="AS10"/>
      <c r="AT10"/>
    </row>
    <row r="11" spans="1:46" ht="22" customHeight="1">
      <c r="A11" s="701"/>
      <c r="B11" s="20">
        <v>5</v>
      </c>
      <c r="C11" s="706" t="s">
        <v>167</v>
      </c>
      <c r="D11" s="707"/>
      <c r="E11" s="698" t="s">
        <v>24</v>
      </c>
      <c r="F11" s="699"/>
      <c r="G11" s="58" t="s">
        <v>575</v>
      </c>
      <c r="H11" s="57" t="s">
        <v>577</v>
      </c>
      <c r="I11" s="59" t="s">
        <v>98</v>
      </c>
      <c r="J11" s="47" t="s">
        <v>579</v>
      </c>
      <c r="K11" s="57" t="s">
        <v>21</v>
      </c>
      <c r="L11" s="40" t="s">
        <v>578</v>
      </c>
      <c r="M11" s="71" t="s">
        <v>2</v>
      </c>
      <c r="N11" s="59" t="s">
        <v>51</v>
      </c>
      <c r="O11" s="57" t="s">
        <v>21</v>
      </c>
      <c r="P11" s="59" t="s">
        <v>98</v>
      </c>
      <c r="Q11" s="40" t="s">
        <v>586</v>
      </c>
      <c r="R11" s="59" t="s">
        <v>586</v>
      </c>
      <c r="S11" s="57" t="s">
        <v>21</v>
      </c>
      <c r="T11" s="59" t="s">
        <v>582</v>
      </c>
      <c r="U11" s="59" t="s">
        <v>586</v>
      </c>
      <c r="V11" s="57" t="s">
        <v>21</v>
      </c>
      <c r="W11" s="59" t="s">
        <v>98</v>
      </c>
      <c r="X11" s="40" t="s">
        <v>586</v>
      </c>
      <c r="Y11" s="59" t="s">
        <v>582</v>
      </c>
      <c r="Z11" s="42" t="s">
        <v>586</v>
      </c>
      <c r="AA11" s="59" t="s">
        <v>586</v>
      </c>
      <c r="AB11" s="59" t="s">
        <v>586</v>
      </c>
      <c r="AC11" s="57" t="s">
        <v>21</v>
      </c>
      <c r="AD11" s="59" t="s">
        <v>98</v>
      </c>
      <c r="AE11" s="40" t="s">
        <v>575</v>
      </c>
      <c r="AF11" s="59" t="s">
        <v>586</v>
      </c>
      <c r="AG11" s="40" t="s">
        <v>582</v>
      </c>
      <c r="AH11" s="40" t="s">
        <v>586</v>
      </c>
      <c r="AI11" s="91" t="s">
        <v>40</v>
      </c>
      <c r="AJ11" s="137" t="s">
        <v>21</v>
      </c>
      <c r="AK11" s="59" t="s">
        <v>98</v>
      </c>
      <c r="AL11" s="30">
        <f t="shared" si="0"/>
        <v>1</v>
      </c>
      <c r="AM11" s="25">
        <f t="shared" si="1"/>
        <v>18</v>
      </c>
      <c r="AN11" s="34">
        <f t="shared" si="2"/>
        <v>12</v>
      </c>
      <c r="AO11" s="29">
        <f t="shared" si="3"/>
        <v>13</v>
      </c>
      <c r="AP11" s="238">
        <v>5</v>
      </c>
      <c r="AR11"/>
    </row>
    <row r="12" spans="1:46" ht="22" customHeight="1">
      <c r="A12" s="701"/>
      <c r="B12" s="20">
        <v>6</v>
      </c>
      <c r="C12" s="708" t="s">
        <v>372</v>
      </c>
      <c r="D12" s="709"/>
      <c r="E12" s="673" t="s">
        <v>32</v>
      </c>
      <c r="F12" s="674"/>
      <c r="G12" s="258" t="s">
        <v>21</v>
      </c>
      <c r="H12" s="40" t="s">
        <v>574</v>
      </c>
      <c r="I12" s="40" t="s">
        <v>1</v>
      </c>
      <c r="J12" s="40" t="s">
        <v>598</v>
      </c>
      <c r="K12" s="40" t="s">
        <v>578</v>
      </c>
      <c r="L12" s="59" t="s">
        <v>582</v>
      </c>
      <c r="M12" s="59" t="s">
        <v>2</v>
      </c>
      <c r="N12" s="40" t="s">
        <v>51</v>
      </c>
      <c r="O12" s="57" t="s">
        <v>21</v>
      </c>
      <c r="P12" s="40" t="s">
        <v>1</v>
      </c>
      <c r="Q12" s="40" t="s">
        <v>582</v>
      </c>
      <c r="R12" s="40" t="s">
        <v>582</v>
      </c>
      <c r="S12" s="257" t="s">
        <v>582</v>
      </c>
      <c r="T12" s="59" t="s">
        <v>582</v>
      </c>
      <c r="U12" s="40" t="s">
        <v>582</v>
      </c>
      <c r="V12" s="57" t="s">
        <v>21</v>
      </c>
      <c r="W12" s="40" t="s">
        <v>1</v>
      </c>
      <c r="X12" s="137" t="s">
        <v>21</v>
      </c>
      <c r="Y12" s="137" t="s">
        <v>21</v>
      </c>
      <c r="Z12" s="59" t="s">
        <v>582</v>
      </c>
      <c r="AA12" s="111" t="s">
        <v>615</v>
      </c>
      <c r="AB12" s="40" t="s">
        <v>582</v>
      </c>
      <c r="AC12" s="57" t="s">
        <v>21</v>
      </c>
      <c r="AD12" s="40" t="s">
        <v>1</v>
      </c>
      <c r="AE12" s="57" t="s">
        <v>21</v>
      </c>
      <c r="AF12" s="40" t="s">
        <v>582</v>
      </c>
      <c r="AG12" s="91" t="s">
        <v>40</v>
      </c>
      <c r="AH12" s="59" t="s">
        <v>597</v>
      </c>
      <c r="AI12" s="40" t="s">
        <v>586</v>
      </c>
      <c r="AJ12" s="57" t="s">
        <v>21</v>
      </c>
      <c r="AK12" s="40" t="s">
        <v>1</v>
      </c>
      <c r="AL12" s="30">
        <f t="shared" si="0"/>
        <v>2</v>
      </c>
      <c r="AM12" s="25">
        <f t="shared" si="1"/>
        <v>16</v>
      </c>
      <c r="AN12" s="34">
        <f t="shared" si="2"/>
        <v>13</v>
      </c>
      <c r="AO12" s="29">
        <f t="shared" si="3"/>
        <v>15</v>
      </c>
      <c r="AP12" s="409">
        <v>3</v>
      </c>
      <c r="AS12"/>
      <c r="AT12"/>
    </row>
    <row r="13" spans="1:46" ht="22" customHeight="1" thickBot="1">
      <c r="A13" s="701"/>
      <c r="B13" s="54">
        <v>7</v>
      </c>
      <c r="C13" s="710" t="s">
        <v>29</v>
      </c>
      <c r="D13" s="711"/>
      <c r="E13" s="712" t="s">
        <v>28</v>
      </c>
      <c r="F13" s="713"/>
      <c r="G13" s="217" t="s">
        <v>21</v>
      </c>
      <c r="H13" s="83" t="s">
        <v>21</v>
      </c>
      <c r="I13" s="59" t="s">
        <v>1</v>
      </c>
      <c r="J13" s="44" t="s">
        <v>582</v>
      </c>
      <c r="K13" s="114" t="s">
        <v>587</v>
      </c>
      <c r="L13" s="43" t="s">
        <v>597</v>
      </c>
      <c r="M13" s="43" t="s">
        <v>582</v>
      </c>
      <c r="N13" s="131" t="s">
        <v>593</v>
      </c>
      <c r="O13" s="50" t="s">
        <v>21</v>
      </c>
      <c r="P13" s="93" t="s">
        <v>1</v>
      </c>
      <c r="Q13" s="43" t="s">
        <v>582</v>
      </c>
      <c r="R13" s="93" t="s">
        <v>586</v>
      </c>
      <c r="S13" s="43" t="s">
        <v>582</v>
      </c>
      <c r="T13" s="43" t="s">
        <v>582</v>
      </c>
      <c r="U13" s="93" t="s">
        <v>582</v>
      </c>
      <c r="V13" s="50" t="s">
        <v>21</v>
      </c>
      <c r="W13" s="59" t="s">
        <v>1</v>
      </c>
      <c r="X13" s="44" t="s">
        <v>582</v>
      </c>
      <c r="Y13" s="121" t="s">
        <v>582</v>
      </c>
      <c r="Z13" s="44" t="s">
        <v>597</v>
      </c>
      <c r="AA13" s="44" t="s">
        <v>586</v>
      </c>
      <c r="AB13" s="121" t="s">
        <v>582</v>
      </c>
      <c r="AC13" s="182" t="s">
        <v>21</v>
      </c>
      <c r="AD13" s="59" t="s">
        <v>1</v>
      </c>
      <c r="AE13" s="57" t="s">
        <v>21</v>
      </c>
      <c r="AF13" s="59" t="s">
        <v>597</v>
      </c>
      <c r="AG13" s="107" t="s">
        <v>90</v>
      </c>
      <c r="AH13" s="40" t="s">
        <v>582</v>
      </c>
      <c r="AI13" s="59" t="s">
        <v>586</v>
      </c>
      <c r="AJ13" s="57" t="s">
        <v>21</v>
      </c>
      <c r="AK13" s="93" t="s">
        <v>21</v>
      </c>
      <c r="AL13" s="221">
        <f t="shared" si="0"/>
        <v>0</v>
      </c>
      <c r="AM13" s="260">
        <f t="shared" si="1"/>
        <v>17</v>
      </c>
      <c r="AN13" s="34">
        <f t="shared" si="2"/>
        <v>13</v>
      </c>
      <c r="AO13" s="167">
        <f t="shared" si="3"/>
        <v>13</v>
      </c>
      <c r="AP13" s="10"/>
    </row>
    <row r="14" spans="1:46" ht="22" customHeight="1">
      <c r="A14" s="701"/>
      <c r="B14" s="353">
        <v>8</v>
      </c>
      <c r="C14" s="714" t="s">
        <v>25</v>
      </c>
      <c r="D14" s="715"/>
      <c r="E14" s="785" t="s">
        <v>30</v>
      </c>
      <c r="F14" s="771"/>
      <c r="G14" s="323" t="s">
        <v>575</v>
      </c>
      <c r="H14" s="287" t="s">
        <v>575</v>
      </c>
      <c r="I14" s="78" t="s">
        <v>21</v>
      </c>
      <c r="J14" s="39" t="s">
        <v>154</v>
      </c>
      <c r="K14" s="39" t="s">
        <v>582</v>
      </c>
      <c r="L14" s="48" t="s">
        <v>21</v>
      </c>
      <c r="M14" s="42" t="s">
        <v>582</v>
      </c>
      <c r="N14" s="71" t="s">
        <v>51</v>
      </c>
      <c r="O14" s="42" t="s">
        <v>580</v>
      </c>
      <c r="P14" s="71" t="s">
        <v>21</v>
      </c>
      <c r="Q14" s="59" t="s">
        <v>582</v>
      </c>
      <c r="R14" s="59" t="s">
        <v>586</v>
      </c>
      <c r="S14" s="114" t="s">
        <v>21</v>
      </c>
      <c r="T14" s="71" t="s">
        <v>586</v>
      </c>
      <c r="U14" s="71" t="s">
        <v>586</v>
      </c>
      <c r="V14" s="139" t="s">
        <v>21</v>
      </c>
      <c r="W14" s="335" t="s">
        <v>21</v>
      </c>
      <c r="X14" s="371" t="s">
        <v>609</v>
      </c>
      <c r="Y14" s="169" t="s">
        <v>582</v>
      </c>
      <c r="Z14" s="81" t="s">
        <v>586</v>
      </c>
      <c r="AA14" s="376" t="s">
        <v>21</v>
      </c>
      <c r="AB14" s="169" t="s">
        <v>582</v>
      </c>
      <c r="AC14" s="316" t="s">
        <v>21</v>
      </c>
      <c r="AD14" s="78" t="s">
        <v>21</v>
      </c>
      <c r="AE14" s="233" t="s">
        <v>21</v>
      </c>
      <c r="AF14" s="75" t="s">
        <v>586</v>
      </c>
      <c r="AG14" s="75" t="s">
        <v>586</v>
      </c>
      <c r="AH14" s="39" t="s">
        <v>586</v>
      </c>
      <c r="AI14" s="75" t="s">
        <v>582</v>
      </c>
      <c r="AJ14" s="48" t="s">
        <v>21</v>
      </c>
      <c r="AK14" s="75" t="s">
        <v>21</v>
      </c>
      <c r="AL14" s="55">
        <f t="shared" si="0"/>
        <v>1</v>
      </c>
      <c r="AM14" s="21">
        <f t="shared" si="1"/>
        <v>18</v>
      </c>
      <c r="AN14" s="22">
        <f t="shared" si="2"/>
        <v>12</v>
      </c>
      <c r="AO14" s="27">
        <f t="shared" si="3"/>
        <v>13</v>
      </c>
      <c r="AP14" s="238">
        <v>4</v>
      </c>
      <c r="AQ14" s="470"/>
      <c r="AR14" s="700"/>
      <c r="AS14" s="700"/>
      <c r="AT14"/>
    </row>
    <row r="15" spans="1:46" ht="21.75" customHeight="1">
      <c r="A15" s="19" t="s">
        <v>80</v>
      </c>
      <c r="B15" s="301">
        <v>9</v>
      </c>
      <c r="C15" s="684" t="s">
        <v>49</v>
      </c>
      <c r="D15" s="685"/>
      <c r="E15" s="698" t="s">
        <v>31</v>
      </c>
      <c r="F15" s="699"/>
      <c r="G15" s="285" t="s">
        <v>575</v>
      </c>
      <c r="H15" s="318" t="s">
        <v>21</v>
      </c>
      <c r="I15" s="64" t="s">
        <v>21</v>
      </c>
      <c r="J15" s="59" t="s">
        <v>586</v>
      </c>
      <c r="K15" s="114" t="s">
        <v>21</v>
      </c>
      <c r="L15" s="59" t="s">
        <v>599</v>
      </c>
      <c r="M15" s="59" t="s">
        <v>582</v>
      </c>
      <c r="N15" s="40" t="s">
        <v>51</v>
      </c>
      <c r="O15" s="114" t="s">
        <v>21</v>
      </c>
      <c r="P15" s="40" t="s">
        <v>21</v>
      </c>
      <c r="Q15" s="59" t="s">
        <v>586</v>
      </c>
      <c r="R15" s="40" t="s">
        <v>582</v>
      </c>
      <c r="S15" s="40" t="s">
        <v>582</v>
      </c>
      <c r="T15" s="114" t="s">
        <v>21</v>
      </c>
      <c r="U15" s="40" t="s">
        <v>582</v>
      </c>
      <c r="V15" s="59" t="s">
        <v>574</v>
      </c>
      <c r="W15" s="68" t="s">
        <v>21</v>
      </c>
      <c r="X15" s="280" t="s">
        <v>582</v>
      </c>
      <c r="Y15" s="40" t="s">
        <v>582</v>
      </c>
      <c r="Z15" s="40" t="s">
        <v>586</v>
      </c>
      <c r="AA15" s="40" t="s">
        <v>586</v>
      </c>
      <c r="AB15" s="137" t="s">
        <v>21</v>
      </c>
      <c r="AC15" s="284" t="s">
        <v>581</v>
      </c>
      <c r="AD15" s="64" t="s">
        <v>21</v>
      </c>
      <c r="AE15" s="59" t="s">
        <v>586</v>
      </c>
      <c r="AF15" s="59" t="s">
        <v>582</v>
      </c>
      <c r="AG15" s="40" t="s">
        <v>582</v>
      </c>
      <c r="AH15" s="111" t="s">
        <v>40</v>
      </c>
      <c r="AI15" s="114" t="s">
        <v>21</v>
      </c>
      <c r="AJ15" s="137" t="s">
        <v>21</v>
      </c>
      <c r="AK15" s="40" t="s">
        <v>21</v>
      </c>
      <c r="AL15" s="30">
        <f t="shared" si="0"/>
        <v>1</v>
      </c>
      <c r="AM15" s="25">
        <f t="shared" si="1"/>
        <v>18</v>
      </c>
      <c r="AN15" s="26">
        <f t="shared" si="2"/>
        <v>12</v>
      </c>
      <c r="AO15" s="29">
        <f t="shared" si="3"/>
        <v>13</v>
      </c>
      <c r="AP15" s="238" t="s">
        <v>591</v>
      </c>
      <c r="AQ15"/>
      <c r="AR15" s="96"/>
      <c r="AS15" s="96"/>
    </row>
    <row r="16" spans="1:46" ht="21.75" customHeight="1">
      <c r="A16" s="19"/>
      <c r="B16" s="301">
        <v>10</v>
      </c>
      <c r="C16" s="684" t="s">
        <v>114</v>
      </c>
      <c r="D16" s="685"/>
      <c r="E16" s="698" t="s">
        <v>31</v>
      </c>
      <c r="F16" s="699"/>
      <c r="G16" s="280" t="s">
        <v>574</v>
      </c>
      <c r="H16" s="272" t="s">
        <v>21</v>
      </c>
      <c r="I16" s="47" t="s">
        <v>21</v>
      </c>
      <c r="J16" s="59" t="s">
        <v>106</v>
      </c>
      <c r="K16" s="59" t="s">
        <v>582</v>
      </c>
      <c r="L16" s="59" t="s">
        <v>154</v>
      </c>
      <c r="M16" s="114" t="s">
        <v>21</v>
      </c>
      <c r="N16" s="40" t="s">
        <v>51</v>
      </c>
      <c r="O16" s="59" t="s">
        <v>580</v>
      </c>
      <c r="P16" s="59" t="s">
        <v>21</v>
      </c>
      <c r="Q16" s="114" t="s">
        <v>584</v>
      </c>
      <c r="R16" s="59" t="s">
        <v>582</v>
      </c>
      <c r="S16" s="59" t="s">
        <v>582</v>
      </c>
      <c r="T16" s="40" t="s">
        <v>582</v>
      </c>
      <c r="U16" s="59" t="s">
        <v>586</v>
      </c>
      <c r="V16" s="137" t="s">
        <v>21</v>
      </c>
      <c r="W16" s="89" t="s">
        <v>21</v>
      </c>
      <c r="X16" s="280" t="s">
        <v>582</v>
      </c>
      <c r="Y16" s="59" t="s">
        <v>586</v>
      </c>
      <c r="Z16" s="114" t="s">
        <v>585</v>
      </c>
      <c r="AA16" s="40" t="s">
        <v>582</v>
      </c>
      <c r="AB16" s="59" t="s">
        <v>582</v>
      </c>
      <c r="AC16" s="318" t="s">
        <v>21</v>
      </c>
      <c r="AD16" s="47" t="s">
        <v>21</v>
      </c>
      <c r="AE16" s="114" t="s">
        <v>21</v>
      </c>
      <c r="AF16" s="59" t="s">
        <v>586</v>
      </c>
      <c r="AG16" s="40" t="s">
        <v>582</v>
      </c>
      <c r="AH16" s="59" t="s">
        <v>582</v>
      </c>
      <c r="AI16" s="59" t="s">
        <v>586</v>
      </c>
      <c r="AJ16" s="40" t="s">
        <v>579</v>
      </c>
      <c r="AK16" s="59" t="s">
        <v>21</v>
      </c>
      <c r="AL16" s="30">
        <f t="shared" si="0"/>
        <v>0</v>
      </c>
      <c r="AM16" s="25">
        <f t="shared" si="1"/>
        <v>19</v>
      </c>
      <c r="AN16" s="26">
        <f t="shared" si="2"/>
        <v>12</v>
      </c>
      <c r="AO16" s="29">
        <f t="shared" si="3"/>
        <v>12</v>
      </c>
      <c r="AP16" s="10">
        <v>3</v>
      </c>
      <c r="AR16" s="96"/>
      <c r="AS16" s="96"/>
    </row>
    <row r="17" spans="1:83" ht="21.75" customHeight="1" thickBot="1">
      <c r="A17" s="19" t="s">
        <v>613</v>
      </c>
      <c r="B17" s="301">
        <v>11</v>
      </c>
      <c r="C17" s="696" t="s">
        <v>192</v>
      </c>
      <c r="D17" s="697"/>
      <c r="E17" s="698" t="s">
        <v>31</v>
      </c>
      <c r="F17" s="699"/>
      <c r="G17" s="540" t="s">
        <v>21</v>
      </c>
      <c r="H17" s="282" t="s">
        <v>575</v>
      </c>
      <c r="I17" s="47" t="s">
        <v>21</v>
      </c>
      <c r="J17" s="107" t="s">
        <v>90</v>
      </c>
      <c r="K17" s="114" t="s">
        <v>21</v>
      </c>
      <c r="L17" s="40" t="s">
        <v>586</v>
      </c>
      <c r="M17" s="59" t="s">
        <v>582</v>
      </c>
      <c r="N17" s="59" t="s">
        <v>594</v>
      </c>
      <c r="O17" s="137" t="s">
        <v>21</v>
      </c>
      <c r="P17" s="59" t="s">
        <v>21</v>
      </c>
      <c r="Q17" s="44" t="s">
        <v>586</v>
      </c>
      <c r="R17" s="57" t="s">
        <v>21</v>
      </c>
      <c r="S17" s="121" t="s">
        <v>586</v>
      </c>
      <c r="T17" s="121" t="s">
        <v>582</v>
      </c>
      <c r="U17" s="248" t="s">
        <v>42</v>
      </c>
      <c r="V17" s="172" t="s">
        <v>21</v>
      </c>
      <c r="W17" s="89" t="s">
        <v>21</v>
      </c>
      <c r="X17" s="341" t="s">
        <v>582</v>
      </c>
      <c r="Y17" s="281" t="s">
        <v>21</v>
      </c>
      <c r="Z17" s="321" t="s">
        <v>586</v>
      </c>
      <c r="AA17" s="275" t="s">
        <v>582</v>
      </c>
      <c r="AB17" s="275" t="s">
        <v>582</v>
      </c>
      <c r="AC17" s="282" t="s">
        <v>578</v>
      </c>
      <c r="AD17" s="47" t="s">
        <v>21</v>
      </c>
      <c r="AE17" s="59" t="s">
        <v>582</v>
      </c>
      <c r="AF17" s="59" t="s">
        <v>582</v>
      </c>
      <c r="AG17" s="114" t="s">
        <v>589</v>
      </c>
      <c r="AH17" s="40" t="s">
        <v>582</v>
      </c>
      <c r="AI17" s="59" t="s">
        <v>582</v>
      </c>
      <c r="AJ17" s="114" t="s">
        <v>21</v>
      </c>
      <c r="AK17" s="59" t="s">
        <v>21</v>
      </c>
      <c r="AL17" s="30">
        <f t="shared" si="0"/>
        <v>1</v>
      </c>
      <c r="AM17" s="25">
        <f t="shared" si="1"/>
        <v>16</v>
      </c>
      <c r="AN17" s="26">
        <f t="shared" si="2"/>
        <v>13</v>
      </c>
      <c r="AO17" s="29">
        <f t="shared" si="3"/>
        <v>14</v>
      </c>
      <c r="AP17" s="10">
        <v>4</v>
      </c>
      <c r="AQ17" s="689"/>
      <c r="AR17" s="689"/>
      <c r="AS17" s="653"/>
      <c r="AT17" s="653"/>
      <c r="AU17" s="156"/>
      <c r="AV17" s="157"/>
      <c r="AW17" s="157"/>
      <c r="AX17" s="218"/>
      <c r="AY17" s="157"/>
      <c r="AZ17" s="218"/>
      <c r="BA17" s="157"/>
      <c r="BB17" s="203"/>
      <c r="BC17" s="157"/>
      <c r="BD17" s="157"/>
      <c r="BE17" s="157"/>
      <c r="BF17" s="157"/>
      <c r="BG17" s="157"/>
      <c r="BH17" s="157"/>
      <c r="BI17" s="156"/>
      <c r="BJ17" s="157"/>
      <c r="BK17" s="157"/>
      <c r="BL17" s="158"/>
      <c r="BM17" s="158"/>
      <c r="BN17" s="157"/>
      <c r="BO17" s="157"/>
      <c r="BP17" s="302"/>
      <c r="BQ17" s="157"/>
      <c r="BR17" s="157"/>
      <c r="BS17" s="158"/>
      <c r="BT17" s="157"/>
      <c r="BU17" s="299"/>
      <c r="BV17" s="157"/>
      <c r="BW17" s="157"/>
      <c r="BX17" s="157"/>
      <c r="BY17" s="156"/>
      <c r="BZ17" s="159"/>
      <c r="CA17" s="161"/>
      <c r="CB17" s="160"/>
      <c r="CC17" s="160"/>
    </row>
    <row r="18" spans="1:83" ht="21.75" customHeight="1">
      <c r="A18" s="19"/>
      <c r="B18" s="301">
        <v>12</v>
      </c>
      <c r="C18" s="682" t="s">
        <v>39</v>
      </c>
      <c r="D18" s="683"/>
      <c r="E18" s="698" t="s">
        <v>31</v>
      </c>
      <c r="F18" s="699"/>
      <c r="G18" s="150" t="s">
        <v>578</v>
      </c>
      <c r="H18" s="57" t="s">
        <v>171</v>
      </c>
      <c r="I18" s="68" t="s">
        <v>21</v>
      </c>
      <c r="J18" s="59" t="s">
        <v>582</v>
      </c>
      <c r="K18" s="137" t="s">
        <v>576</v>
      </c>
      <c r="L18" s="59" t="s">
        <v>586</v>
      </c>
      <c r="M18" s="59" t="s">
        <v>586</v>
      </c>
      <c r="N18" s="40" t="s">
        <v>51</v>
      </c>
      <c r="O18" s="59" t="s">
        <v>575</v>
      </c>
      <c r="P18" s="68" t="s">
        <v>21</v>
      </c>
      <c r="Q18" s="270" t="s">
        <v>586</v>
      </c>
      <c r="R18" s="351" t="s">
        <v>600</v>
      </c>
      <c r="S18" s="81" t="s">
        <v>586</v>
      </c>
      <c r="T18" s="279" t="s">
        <v>21</v>
      </c>
      <c r="U18" s="81" t="s">
        <v>586</v>
      </c>
      <c r="V18" s="325" t="s">
        <v>577</v>
      </c>
      <c r="W18" s="110" t="s">
        <v>21</v>
      </c>
      <c r="X18" s="71" t="s">
        <v>582</v>
      </c>
      <c r="Y18" s="113" t="s">
        <v>586</v>
      </c>
      <c r="Z18" s="71" t="s">
        <v>582</v>
      </c>
      <c r="AA18" s="170" t="s">
        <v>21</v>
      </c>
      <c r="AB18" s="42" t="s">
        <v>582</v>
      </c>
      <c r="AC18" s="114" t="s">
        <v>21</v>
      </c>
      <c r="AD18" s="68" t="s">
        <v>21</v>
      </c>
      <c r="AE18" s="59" t="s">
        <v>582</v>
      </c>
      <c r="AF18" s="170" t="s">
        <v>21</v>
      </c>
      <c r="AG18" s="59" t="s">
        <v>582</v>
      </c>
      <c r="AH18" s="59" t="s">
        <v>586</v>
      </c>
      <c r="AI18" s="111" t="s">
        <v>40</v>
      </c>
      <c r="AJ18" s="59" t="s">
        <v>2</v>
      </c>
      <c r="AK18" s="68" t="s">
        <v>21</v>
      </c>
      <c r="AL18" s="30">
        <f t="shared" si="0"/>
        <v>1</v>
      </c>
      <c r="AM18" s="25">
        <f t="shared" si="1"/>
        <v>18</v>
      </c>
      <c r="AN18" s="26">
        <f t="shared" si="2"/>
        <v>12</v>
      </c>
      <c r="AO18" s="29">
        <f t="shared" si="3"/>
        <v>13</v>
      </c>
      <c r="AP18" s="238">
        <v>4</v>
      </c>
      <c r="AQ18" s="689"/>
      <c r="AR18" s="689"/>
      <c r="AS18" s="653"/>
      <c r="AT18" s="653"/>
      <c r="AU18" s="156"/>
      <c r="AV18" s="157"/>
      <c r="AW18" s="157"/>
      <c r="AX18" s="158"/>
      <c r="AY18" s="156"/>
      <c r="AZ18" s="156"/>
      <c r="BA18" s="156"/>
      <c r="BB18" s="156"/>
      <c r="BC18" s="157"/>
      <c r="BD18" s="206"/>
      <c r="BE18" s="206"/>
      <c r="BF18" s="218"/>
      <c r="BG18" s="206"/>
      <c r="BH18" s="16"/>
      <c r="BI18" s="156"/>
      <c r="BJ18" s="157"/>
      <c r="BK18" s="206"/>
      <c r="BL18" s="218"/>
      <c r="BM18" s="218"/>
      <c r="BN18" s="218"/>
      <c r="BO18" s="206"/>
      <c r="BP18" s="203"/>
      <c r="BQ18" s="157"/>
      <c r="BR18" s="206"/>
      <c r="BS18" s="218"/>
      <c r="BT18" s="218"/>
      <c r="BU18" s="306"/>
      <c r="BV18" s="218"/>
      <c r="BW18" s="203"/>
      <c r="BX18" s="157"/>
      <c r="BY18" s="157"/>
      <c r="BZ18" s="159"/>
      <c r="CA18" s="161"/>
      <c r="CB18" s="160"/>
      <c r="CC18" s="160"/>
    </row>
    <row r="19" spans="1:83" ht="22" customHeight="1">
      <c r="A19" s="19"/>
      <c r="B19" s="301">
        <v>13</v>
      </c>
      <c r="C19" s="690" t="s">
        <v>38</v>
      </c>
      <c r="D19" s="691"/>
      <c r="E19" s="686" t="s">
        <v>31</v>
      </c>
      <c r="F19" s="686"/>
      <c r="G19" s="58" t="s">
        <v>579</v>
      </c>
      <c r="H19" s="57" t="s">
        <v>577</v>
      </c>
      <c r="I19" s="89" t="s">
        <v>21</v>
      </c>
      <c r="J19" s="40" t="s">
        <v>582</v>
      </c>
      <c r="K19" s="89" t="s">
        <v>586</v>
      </c>
      <c r="L19" s="59" t="s">
        <v>2</v>
      </c>
      <c r="M19" s="59" t="s">
        <v>601</v>
      </c>
      <c r="N19" s="59" t="s">
        <v>51</v>
      </c>
      <c r="O19" s="137" t="s">
        <v>21</v>
      </c>
      <c r="P19" s="89" t="s">
        <v>21</v>
      </c>
      <c r="Q19" s="285" t="s">
        <v>597</v>
      </c>
      <c r="R19" s="89" t="s">
        <v>586</v>
      </c>
      <c r="S19" s="114" t="s">
        <v>585</v>
      </c>
      <c r="T19" s="40" t="s">
        <v>582</v>
      </c>
      <c r="U19" s="59" t="s">
        <v>597</v>
      </c>
      <c r="V19" s="313" t="s">
        <v>582</v>
      </c>
      <c r="W19" s="74" t="s">
        <v>21</v>
      </c>
      <c r="X19" s="114" t="s">
        <v>585</v>
      </c>
      <c r="Y19" s="89" t="s">
        <v>582</v>
      </c>
      <c r="Z19" s="40" t="s">
        <v>582</v>
      </c>
      <c r="AA19" s="40" t="s">
        <v>582</v>
      </c>
      <c r="AB19" s="111" t="s">
        <v>40</v>
      </c>
      <c r="AC19" s="57" t="s">
        <v>21</v>
      </c>
      <c r="AD19" s="89" t="s">
        <v>21</v>
      </c>
      <c r="AE19" s="114" t="s">
        <v>585</v>
      </c>
      <c r="AF19" s="89" t="s">
        <v>586</v>
      </c>
      <c r="AG19" s="59" t="s">
        <v>601</v>
      </c>
      <c r="AH19" s="59" t="s">
        <v>582</v>
      </c>
      <c r="AI19" s="59" t="s">
        <v>586</v>
      </c>
      <c r="AJ19" s="57" t="s">
        <v>21</v>
      </c>
      <c r="AK19" s="89" t="s">
        <v>21</v>
      </c>
      <c r="AL19" s="30">
        <f t="shared" si="0"/>
        <v>1</v>
      </c>
      <c r="AM19" s="25">
        <f t="shared" si="1"/>
        <v>18</v>
      </c>
      <c r="AN19" s="26">
        <f t="shared" si="2"/>
        <v>12</v>
      </c>
      <c r="AO19" s="29">
        <f t="shared" si="3"/>
        <v>13</v>
      </c>
      <c r="AP19" s="10">
        <v>4</v>
      </c>
      <c r="AQ19" s="303"/>
      <c r="AR19" s="692"/>
      <c r="AS19" s="692"/>
      <c r="AT19" s="693"/>
      <c r="AU19" s="693"/>
      <c r="AV19" s="158"/>
      <c r="AW19" s="157"/>
      <c r="AX19" s="157"/>
      <c r="AY19" s="158"/>
      <c r="AZ19" s="157"/>
      <c r="BA19" s="157"/>
      <c r="BB19" s="157"/>
      <c r="BC19" s="157"/>
      <c r="BD19" s="157"/>
      <c r="BE19" s="157"/>
      <c r="BF19" s="158"/>
      <c r="BG19" s="157"/>
      <c r="BH19" s="158"/>
      <c r="BI19" s="158"/>
      <c r="BJ19" s="158"/>
      <c r="BK19" s="157"/>
      <c r="BL19" s="158"/>
      <c r="BM19" s="157"/>
      <c r="BN19" s="157"/>
      <c r="BO19" s="304"/>
      <c r="BP19" s="157"/>
      <c r="BQ19" s="157"/>
      <c r="BR19" s="157"/>
      <c r="BS19" s="157"/>
      <c r="BT19" s="158"/>
      <c r="BU19" s="157"/>
      <c r="BV19" s="299"/>
      <c r="BW19" s="157"/>
      <c r="BX19" s="158"/>
      <c r="BY19" s="157"/>
      <c r="BZ19" s="158"/>
      <c r="CA19" s="305"/>
      <c r="CB19" s="161"/>
      <c r="CC19" s="161"/>
      <c r="CD19" s="161"/>
    </row>
    <row r="20" spans="1:83" ht="22" customHeight="1" thickBot="1">
      <c r="A20" s="19"/>
      <c r="B20" s="301">
        <v>14</v>
      </c>
      <c r="C20" s="684" t="s">
        <v>200</v>
      </c>
      <c r="D20" s="685"/>
      <c r="E20" s="694" t="s">
        <v>31</v>
      </c>
      <c r="F20" s="695"/>
      <c r="G20" s="143" t="s">
        <v>21</v>
      </c>
      <c r="H20" s="40" t="s">
        <v>51</v>
      </c>
      <c r="I20" s="89" t="s">
        <v>21</v>
      </c>
      <c r="J20" s="44" t="s">
        <v>586</v>
      </c>
      <c r="K20" s="84" t="s">
        <v>582</v>
      </c>
      <c r="L20" s="44" t="s">
        <v>586</v>
      </c>
      <c r="M20" s="171" t="s">
        <v>585</v>
      </c>
      <c r="N20" s="121" t="s">
        <v>51</v>
      </c>
      <c r="O20" s="172" t="s">
        <v>21</v>
      </c>
      <c r="P20" s="89" t="s">
        <v>21</v>
      </c>
      <c r="Q20" s="274" t="s">
        <v>586</v>
      </c>
      <c r="R20" s="500" t="s">
        <v>21</v>
      </c>
      <c r="S20" s="275" t="s">
        <v>582</v>
      </c>
      <c r="T20" s="275" t="s">
        <v>582</v>
      </c>
      <c r="U20" s="281" t="s">
        <v>21</v>
      </c>
      <c r="V20" s="542" t="s">
        <v>40</v>
      </c>
      <c r="W20" s="74" t="s">
        <v>21</v>
      </c>
      <c r="X20" s="59" t="s">
        <v>582</v>
      </c>
      <c r="Y20" s="135" t="s">
        <v>21</v>
      </c>
      <c r="Z20" s="40" t="s">
        <v>582</v>
      </c>
      <c r="AA20" s="59" t="s">
        <v>582</v>
      </c>
      <c r="AB20" s="59" t="s">
        <v>582</v>
      </c>
      <c r="AC20" s="59" t="s">
        <v>2</v>
      </c>
      <c r="AD20" s="89" t="s">
        <v>21</v>
      </c>
      <c r="AE20" s="121" t="s">
        <v>582</v>
      </c>
      <c r="AF20" s="84" t="s">
        <v>582</v>
      </c>
      <c r="AG20" s="44" t="s">
        <v>582</v>
      </c>
      <c r="AH20" s="171" t="s">
        <v>612</v>
      </c>
      <c r="AI20" s="121" t="s">
        <v>582</v>
      </c>
      <c r="AJ20" s="57" t="s">
        <v>21</v>
      </c>
      <c r="AK20" s="89" t="s">
        <v>21</v>
      </c>
      <c r="AL20" s="30">
        <f t="shared" si="0"/>
        <v>1</v>
      </c>
      <c r="AM20" s="25">
        <f t="shared" si="1"/>
        <v>17</v>
      </c>
      <c r="AN20" s="26">
        <f t="shared" si="2"/>
        <v>13</v>
      </c>
      <c r="AO20" s="29">
        <f t="shared" si="3"/>
        <v>14</v>
      </c>
      <c r="AP20" s="10">
        <v>4</v>
      </c>
      <c r="AQ20" s="689"/>
      <c r="AR20" s="689"/>
      <c r="AS20" s="653"/>
      <c r="AT20" s="653"/>
      <c r="AU20" s="304"/>
      <c r="AV20" s="158"/>
      <c r="AW20" s="158"/>
      <c r="AX20" s="158"/>
      <c r="AY20" s="157"/>
      <c r="AZ20" s="157"/>
      <c r="BA20" s="158"/>
      <c r="BB20" s="156"/>
      <c r="BC20" s="158"/>
      <c r="BD20" s="158"/>
      <c r="BE20" s="489"/>
      <c r="BF20" s="157"/>
      <c r="BG20" s="156"/>
      <c r="BH20" s="158"/>
      <c r="BI20" s="158"/>
      <c r="BJ20" s="489"/>
      <c r="BK20" s="157"/>
      <c r="BL20" s="158"/>
      <c r="BM20" s="157"/>
      <c r="BN20" s="158"/>
      <c r="BO20" s="158"/>
      <c r="BP20" s="203"/>
      <c r="BQ20" s="158"/>
      <c r="BR20" s="304"/>
      <c r="BS20" s="304"/>
      <c r="BT20" s="157"/>
      <c r="BU20" s="156"/>
      <c r="BV20" s="158"/>
      <c r="BW20" s="156"/>
      <c r="BX20" s="158"/>
      <c r="BY20" s="158"/>
      <c r="BZ20" s="159"/>
      <c r="CA20" s="161"/>
      <c r="CB20" s="160"/>
      <c r="CC20" s="160"/>
    </row>
    <row r="21" spans="1:83" ht="22" customHeight="1">
      <c r="A21" s="19">
        <v>5</v>
      </c>
      <c r="B21" s="301">
        <v>15</v>
      </c>
      <c r="C21" s="684" t="s">
        <v>26</v>
      </c>
      <c r="D21" s="685"/>
      <c r="E21" s="686" t="s">
        <v>31</v>
      </c>
      <c r="F21" s="686"/>
      <c r="G21" s="58" t="s">
        <v>579</v>
      </c>
      <c r="H21" s="114" t="s">
        <v>21</v>
      </c>
      <c r="I21" s="74" t="s">
        <v>1</v>
      </c>
      <c r="J21" s="270" t="s">
        <v>601</v>
      </c>
      <c r="K21" s="80" t="s">
        <v>586</v>
      </c>
      <c r="L21" s="169" t="s">
        <v>586</v>
      </c>
      <c r="M21" s="169" t="s">
        <v>602</v>
      </c>
      <c r="N21" s="169" t="s">
        <v>594</v>
      </c>
      <c r="O21" s="356" t="s">
        <v>21</v>
      </c>
      <c r="P21" s="47" t="s">
        <v>1</v>
      </c>
      <c r="Q21" s="42" t="s">
        <v>586</v>
      </c>
      <c r="R21" s="62" t="s">
        <v>601</v>
      </c>
      <c r="S21" s="57" t="s">
        <v>21</v>
      </c>
      <c r="T21" s="71" t="s">
        <v>586</v>
      </c>
      <c r="U21" s="71" t="s">
        <v>603</v>
      </c>
      <c r="V21" s="71" t="s">
        <v>575</v>
      </c>
      <c r="W21" s="47" t="s">
        <v>1</v>
      </c>
      <c r="X21" s="40" t="s">
        <v>582</v>
      </c>
      <c r="Y21" s="57" t="s">
        <v>21</v>
      </c>
      <c r="Z21" s="59" t="s">
        <v>586</v>
      </c>
      <c r="AA21" s="59" t="s">
        <v>586</v>
      </c>
      <c r="AB21" s="57" t="s">
        <v>21</v>
      </c>
      <c r="AC21" s="59" t="s">
        <v>579</v>
      </c>
      <c r="AD21" s="74" t="s">
        <v>1</v>
      </c>
      <c r="AE21" s="270" t="s">
        <v>2</v>
      </c>
      <c r="AF21" s="169" t="s">
        <v>2</v>
      </c>
      <c r="AG21" s="81" t="s">
        <v>582</v>
      </c>
      <c r="AH21" s="397" t="s">
        <v>586</v>
      </c>
      <c r="AI21" s="360" t="s">
        <v>21</v>
      </c>
      <c r="AJ21" s="316" t="s">
        <v>21</v>
      </c>
      <c r="AK21" s="47" t="s">
        <v>1</v>
      </c>
      <c r="AL21" s="30">
        <f t="shared" si="0"/>
        <v>0</v>
      </c>
      <c r="AM21" s="25">
        <f t="shared" si="1"/>
        <v>19</v>
      </c>
      <c r="AN21" s="26">
        <f t="shared" si="2"/>
        <v>12</v>
      </c>
      <c r="AO21" s="29">
        <f t="shared" si="3"/>
        <v>12</v>
      </c>
      <c r="AP21" s="10">
        <v>4</v>
      </c>
      <c r="AQ21" s="652"/>
      <c r="AR21" s="652"/>
      <c r="AS21" s="653"/>
      <c r="AT21" s="653"/>
      <c r="AU21" s="203"/>
      <c r="AV21" s="158"/>
      <c r="AW21" s="157"/>
      <c r="AX21" s="158"/>
      <c r="AY21" s="158"/>
      <c r="AZ21" s="157"/>
      <c r="BA21" s="157"/>
      <c r="BB21" s="203"/>
      <c r="BC21" s="158"/>
      <c r="BD21" s="157"/>
      <c r="BE21" s="156"/>
      <c r="BF21" s="158"/>
      <c r="BG21" s="158"/>
      <c r="BH21" s="157"/>
      <c r="BI21" s="158"/>
      <c r="BJ21" s="158"/>
      <c r="BK21" s="158"/>
      <c r="BL21" s="158"/>
      <c r="BM21" s="158"/>
      <c r="BN21" s="158"/>
      <c r="BO21" s="158"/>
      <c r="BP21" s="203"/>
      <c r="BQ21" s="158"/>
      <c r="BR21" s="157"/>
      <c r="BS21" s="158"/>
      <c r="BT21" s="158"/>
      <c r="BU21" s="158"/>
      <c r="BV21" s="156"/>
      <c r="BW21" s="158"/>
      <c r="BX21" s="158"/>
      <c r="BY21" s="156"/>
      <c r="BZ21" s="159"/>
      <c r="CA21" s="161"/>
      <c r="CB21" s="160"/>
      <c r="CC21" s="160"/>
    </row>
    <row r="22" spans="1:83" ht="22" customHeight="1">
      <c r="A22" s="19">
        <v>6</v>
      </c>
      <c r="B22" s="301">
        <v>16</v>
      </c>
      <c r="C22" s="687" t="s">
        <v>45</v>
      </c>
      <c r="D22" s="688"/>
      <c r="E22" s="686" t="s">
        <v>31</v>
      </c>
      <c r="F22" s="686"/>
      <c r="G22" s="70" t="s">
        <v>579</v>
      </c>
      <c r="H22" s="114" t="s">
        <v>577</v>
      </c>
      <c r="I22" s="110" t="s">
        <v>21</v>
      </c>
      <c r="J22" s="285" t="s">
        <v>582</v>
      </c>
      <c r="K22" s="57" t="s">
        <v>21</v>
      </c>
      <c r="L22" s="40" t="s">
        <v>582</v>
      </c>
      <c r="M22" s="59" t="s">
        <v>586</v>
      </c>
      <c r="N22" s="40" t="s">
        <v>51</v>
      </c>
      <c r="O22" s="284" t="s">
        <v>575</v>
      </c>
      <c r="P22" s="64" t="s">
        <v>21</v>
      </c>
      <c r="Q22" s="40" t="s">
        <v>586</v>
      </c>
      <c r="R22" s="57" t="s">
        <v>21</v>
      </c>
      <c r="S22" s="40" t="s">
        <v>582</v>
      </c>
      <c r="T22" s="59" t="s">
        <v>586</v>
      </c>
      <c r="U22" s="40" t="s">
        <v>582</v>
      </c>
      <c r="V22" s="137" t="s">
        <v>21</v>
      </c>
      <c r="W22" s="64" t="s">
        <v>21</v>
      </c>
      <c r="X22" s="59" t="s">
        <v>586</v>
      </c>
      <c r="Y22" s="64" t="s">
        <v>586</v>
      </c>
      <c r="Z22" s="40" t="s">
        <v>582</v>
      </c>
      <c r="AA22" s="57" t="s">
        <v>21</v>
      </c>
      <c r="AB22" s="40" t="s">
        <v>586</v>
      </c>
      <c r="AC22" s="114" t="s">
        <v>21</v>
      </c>
      <c r="AD22" s="110" t="s">
        <v>21</v>
      </c>
      <c r="AE22" s="280" t="s">
        <v>582</v>
      </c>
      <c r="AF22" s="64" t="s">
        <v>602</v>
      </c>
      <c r="AG22" s="91" t="s">
        <v>583</v>
      </c>
      <c r="AH22" s="57" t="s">
        <v>610</v>
      </c>
      <c r="AI22" s="40" t="s">
        <v>582</v>
      </c>
      <c r="AJ22" s="313" t="s">
        <v>579</v>
      </c>
      <c r="AK22" s="64" t="s">
        <v>21</v>
      </c>
      <c r="AL22" s="30">
        <f t="shared" si="0"/>
        <v>1</v>
      </c>
      <c r="AM22" s="25">
        <f t="shared" si="1"/>
        <v>18</v>
      </c>
      <c r="AN22" s="26">
        <f t="shared" si="2"/>
        <v>12</v>
      </c>
      <c r="AO22" s="29">
        <f t="shared" si="3"/>
        <v>13</v>
      </c>
      <c r="AP22" s="10">
        <v>4</v>
      </c>
      <c r="AQ22" s="689" t="s">
        <v>573</v>
      </c>
      <c r="AR22" s="689"/>
      <c r="AS22" s="653"/>
      <c r="AT22" s="653"/>
      <c r="AU22" s="304"/>
      <c r="AV22" s="158"/>
      <c r="AW22" s="158"/>
      <c r="AX22" s="158"/>
      <c r="AY22" s="157"/>
      <c r="AZ22" s="157"/>
      <c r="BA22" s="158"/>
      <c r="BB22" s="156"/>
      <c r="BC22" s="158"/>
      <c r="BD22" s="158"/>
      <c r="BE22" s="489"/>
      <c r="BF22" s="157"/>
      <c r="BG22" s="156"/>
      <c r="BH22" s="158"/>
      <c r="BI22" s="158"/>
      <c r="BJ22" s="489"/>
      <c r="BK22" s="157"/>
      <c r="BL22" s="158"/>
      <c r="BM22" s="157"/>
      <c r="BN22" s="158"/>
      <c r="BO22" s="158"/>
      <c r="BP22" s="203"/>
      <c r="BQ22" s="158"/>
      <c r="BR22" s="304"/>
      <c r="BS22" s="304"/>
      <c r="BT22" s="157"/>
      <c r="BU22" s="156"/>
      <c r="BV22" s="158"/>
      <c r="BW22" s="156"/>
      <c r="BX22" s="158"/>
      <c r="BY22" s="189"/>
    </row>
    <row r="23" spans="1:83" ht="22" customHeight="1">
      <c r="A23" s="19"/>
      <c r="B23" s="301">
        <v>17</v>
      </c>
      <c r="C23" s="682" t="s">
        <v>95</v>
      </c>
      <c r="D23" s="683"/>
      <c r="E23" s="673" t="s">
        <v>31</v>
      </c>
      <c r="F23" s="674"/>
      <c r="G23" s="58" t="s">
        <v>575</v>
      </c>
      <c r="H23" s="137" t="s">
        <v>21</v>
      </c>
      <c r="I23" s="74" t="s">
        <v>21</v>
      </c>
      <c r="J23" s="407" t="s">
        <v>586</v>
      </c>
      <c r="K23" s="114" t="s">
        <v>590</v>
      </c>
      <c r="L23" s="111" t="s">
        <v>40</v>
      </c>
      <c r="M23" s="111" t="s">
        <v>583</v>
      </c>
      <c r="N23" s="111" t="s">
        <v>40</v>
      </c>
      <c r="O23" s="382" t="s">
        <v>21</v>
      </c>
      <c r="P23" s="47" t="s">
        <v>21</v>
      </c>
      <c r="Q23" s="57" t="s">
        <v>21</v>
      </c>
      <c r="R23" s="47" t="s">
        <v>586</v>
      </c>
      <c r="S23" s="59" t="s">
        <v>582</v>
      </c>
      <c r="T23" s="59" t="s">
        <v>582</v>
      </c>
      <c r="U23" s="59" t="s">
        <v>582</v>
      </c>
      <c r="V23" s="57" t="s">
        <v>588</v>
      </c>
      <c r="W23" s="47" t="s">
        <v>21</v>
      </c>
      <c r="X23" s="40" t="s">
        <v>582</v>
      </c>
      <c r="Y23" s="47" t="s">
        <v>601</v>
      </c>
      <c r="Z23" s="47" t="s">
        <v>104</v>
      </c>
      <c r="AA23" s="59" t="s">
        <v>601</v>
      </c>
      <c r="AB23" s="59" t="s">
        <v>582</v>
      </c>
      <c r="AC23" s="114" t="s">
        <v>21</v>
      </c>
      <c r="AD23" s="74" t="s">
        <v>21</v>
      </c>
      <c r="AE23" s="273" t="s">
        <v>611</v>
      </c>
      <c r="AF23" s="64" t="s">
        <v>2</v>
      </c>
      <c r="AG23" s="40" t="s">
        <v>582</v>
      </c>
      <c r="AH23" s="40" t="s">
        <v>582</v>
      </c>
      <c r="AI23" s="59" t="s">
        <v>582</v>
      </c>
      <c r="AJ23" s="284" t="s">
        <v>579</v>
      </c>
      <c r="AK23" s="47" t="s">
        <v>21</v>
      </c>
      <c r="AL23" s="30">
        <f t="shared" si="0"/>
        <v>3</v>
      </c>
      <c r="AM23" s="25">
        <f t="shared" si="1"/>
        <v>16</v>
      </c>
      <c r="AN23" s="26">
        <f t="shared" si="2"/>
        <v>12</v>
      </c>
      <c r="AO23" s="29">
        <f t="shared" si="3"/>
        <v>15</v>
      </c>
      <c r="AP23" s="10">
        <v>5.5</v>
      </c>
      <c r="AR23" s="96"/>
      <c r="AS23" s="96"/>
    </row>
    <row r="24" spans="1:83" ht="22" customHeight="1" thickBot="1">
      <c r="A24" s="19"/>
      <c r="B24" s="54">
        <v>18</v>
      </c>
      <c r="C24" s="675" t="s">
        <v>48</v>
      </c>
      <c r="D24" s="676"/>
      <c r="E24" s="677" t="s">
        <v>31</v>
      </c>
      <c r="F24" s="677"/>
      <c r="G24" s="166" t="s">
        <v>21</v>
      </c>
      <c r="H24" s="93" t="s">
        <v>575</v>
      </c>
      <c r="I24" s="363" t="s">
        <v>1</v>
      </c>
      <c r="J24" s="520" t="s">
        <v>21</v>
      </c>
      <c r="K24" s="357" t="s">
        <v>582</v>
      </c>
      <c r="L24" s="275" t="s">
        <v>582</v>
      </c>
      <c r="M24" s="275" t="s">
        <v>582</v>
      </c>
      <c r="N24" s="321" t="s">
        <v>594</v>
      </c>
      <c r="O24" s="373" t="s">
        <v>21</v>
      </c>
      <c r="P24" s="102" t="s">
        <v>1</v>
      </c>
      <c r="Q24" s="93" t="s">
        <v>582</v>
      </c>
      <c r="R24" s="102" t="s">
        <v>604</v>
      </c>
      <c r="S24" s="43" t="s">
        <v>586</v>
      </c>
      <c r="T24" s="57" t="s">
        <v>21</v>
      </c>
      <c r="U24" s="43" t="s">
        <v>586</v>
      </c>
      <c r="V24" s="93" t="s">
        <v>575</v>
      </c>
      <c r="W24" s="102" t="s">
        <v>1</v>
      </c>
      <c r="X24" s="57" t="s">
        <v>21</v>
      </c>
      <c r="Y24" s="102" t="s">
        <v>601</v>
      </c>
      <c r="Z24" s="43" t="s">
        <v>582</v>
      </c>
      <c r="AA24" s="43" t="s">
        <v>582</v>
      </c>
      <c r="AB24" s="43" t="s">
        <v>601</v>
      </c>
      <c r="AC24" s="137" t="s">
        <v>21</v>
      </c>
      <c r="AD24" s="363" t="s">
        <v>1</v>
      </c>
      <c r="AE24" s="329" t="s">
        <v>21</v>
      </c>
      <c r="AF24" s="327" t="s">
        <v>40</v>
      </c>
      <c r="AG24" s="276" t="s">
        <v>582</v>
      </c>
      <c r="AH24" s="275" t="s">
        <v>586</v>
      </c>
      <c r="AI24" s="275" t="s">
        <v>2</v>
      </c>
      <c r="AJ24" s="315" t="s">
        <v>21</v>
      </c>
      <c r="AK24" s="102" t="s">
        <v>1</v>
      </c>
      <c r="AL24" s="221">
        <f t="shared" si="0"/>
        <v>1</v>
      </c>
      <c r="AM24" s="260">
        <f t="shared" si="1"/>
        <v>17</v>
      </c>
      <c r="AN24" s="26">
        <f t="shared" si="2"/>
        <v>13</v>
      </c>
      <c r="AO24" s="29">
        <f t="shared" si="3"/>
        <v>14</v>
      </c>
      <c r="AP24" s="10">
        <v>4</v>
      </c>
      <c r="AR24" s="300"/>
      <c r="AS24" s="652"/>
      <c r="AT24" s="652"/>
      <c r="AU24" s="653"/>
      <c r="AV24" s="653"/>
      <c r="AW24" s="203"/>
      <c r="AX24" s="157"/>
      <c r="AY24" s="157"/>
      <c r="AZ24" s="298"/>
      <c r="BA24" s="157"/>
      <c r="BB24" s="156"/>
      <c r="BC24" s="157"/>
      <c r="BD24" s="157"/>
      <c r="BE24" s="157"/>
      <c r="BF24" s="204"/>
      <c r="BG24" s="157"/>
      <c r="BH24" s="157"/>
      <c r="BI24" s="298"/>
      <c r="BJ24" s="157"/>
      <c r="BK24" s="157"/>
      <c r="BL24" s="157"/>
      <c r="BM24" s="204"/>
      <c r="BN24" s="156"/>
      <c r="BO24" s="157"/>
      <c r="BP24" s="157"/>
      <c r="BQ24" s="157"/>
      <c r="BR24" s="203"/>
      <c r="BS24" s="157"/>
      <c r="BT24" s="157"/>
      <c r="BU24" s="158"/>
      <c r="BV24" s="157"/>
      <c r="BW24" s="299"/>
      <c r="BX24" s="157"/>
      <c r="BY24" s="157"/>
      <c r="BZ24" s="157"/>
      <c r="CA24" s="157"/>
      <c r="CB24" s="159"/>
      <c r="CC24" s="161"/>
      <c r="CD24" s="160"/>
      <c r="CE24" s="160"/>
    </row>
    <row r="25" spans="1:83" ht="22" customHeight="1">
      <c r="A25" s="19"/>
      <c r="B25" s="416">
        <v>19</v>
      </c>
      <c r="C25" s="678" t="s">
        <v>197</v>
      </c>
      <c r="D25" s="679"/>
      <c r="E25" s="680" t="s">
        <v>94</v>
      </c>
      <c r="F25" s="681"/>
      <c r="G25" s="485" t="s">
        <v>21</v>
      </c>
      <c r="H25" s="104" t="s">
        <v>21</v>
      </c>
      <c r="I25" s="290" t="s">
        <v>21</v>
      </c>
      <c r="J25" s="49" t="s">
        <v>582</v>
      </c>
      <c r="K25" s="216" t="s">
        <v>21</v>
      </c>
      <c r="L25" s="49" t="s">
        <v>586</v>
      </c>
      <c r="M25" s="49" t="s">
        <v>582</v>
      </c>
      <c r="N25" s="539" t="s">
        <v>51</v>
      </c>
      <c r="O25" s="104" t="s">
        <v>21</v>
      </c>
      <c r="P25" s="290" t="s">
        <v>21</v>
      </c>
      <c r="Q25" s="291" t="s">
        <v>586</v>
      </c>
      <c r="R25" s="290" t="s">
        <v>582</v>
      </c>
      <c r="S25" s="291" t="s">
        <v>601</v>
      </c>
      <c r="T25" s="291" t="s">
        <v>601</v>
      </c>
      <c r="U25" s="290" t="s">
        <v>586</v>
      </c>
      <c r="V25" s="292" t="s">
        <v>21</v>
      </c>
      <c r="W25" s="290" t="s">
        <v>21</v>
      </c>
      <c r="X25" s="291" t="s">
        <v>582</v>
      </c>
      <c r="Y25" s="290" t="s">
        <v>582</v>
      </c>
      <c r="Z25" s="291" t="s">
        <v>601</v>
      </c>
      <c r="AA25" s="291" t="s">
        <v>601</v>
      </c>
      <c r="AB25" s="290" t="s">
        <v>582</v>
      </c>
      <c r="AC25" s="538" t="s">
        <v>576</v>
      </c>
      <c r="AD25" s="290" t="s">
        <v>21</v>
      </c>
      <c r="AE25" s="104" t="s">
        <v>21</v>
      </c>
      <c r="AF25" s="115" t="s">
        <v>582</v>
      </c>
      <c r="AG25" s="49" t="s">
        <v>586</v>
      </c>
      <c r="AH25" s="63" t="s">
        <v>582</v>
      </c>
      <c r="AI25" s="63" t="s">
        <v>586</v>
      </c>
      <c r="AJ25" s="541" t="s">
        <v>21</v>
      </c>
      <c r="AK25" s="290" t="s">
        <v>21</v>
      </c>
      <c r="AL25" s="532">
        <f t="shared" si="0"/>
        <v>0</v>
      </c>
      <c r="AM25" s="533">
        <f t="shared" si="1"/>
        <v>18</v>
      </c>
      <c r="AN25" s="534">
        <f t="shared" si="2"/>
        <v>13</v>
      </c>
      <c r="AO25" s="535">
        <f t="shared" si="3"/>
        <v>13</v>
      </c>
      <c r="AP25" s="10"/>
      <c r="AR25" s="652"/>
      <c r="AS25" s="652"/>
      <c r="AT25" s="653"/>
      <c r="AU25" s="653"/>
      <c r="AV25" s="203"/>
      <c r="AW25" s="157"/>
      <c r="AX25" s="157"/>
      <c r="AY25" s="298"/>
      <c r="AZ25" s="157"/>
      <c r="BA25" s="156"/>
      <c r="BB25" s="157"/>
      <c r="BC25" s="203"/>
      <c r="BD25" s="157"/>
      <c r="BE25" s="204"/>
      <c r="BF25" s="298"/>
      <c r="BG25" s="157"/>
      <c r="BH25" s="158"/>
      <c r="BI25" s="157"/>
      <c r="BJ25" s="298"/>
      <c r="BK25" s="157"/>
      <c r="BL25" s="204"/>
      <c r="BM25" s="156"/>
      <c r="BN25" s="157"/>
      <c r="BO25" s="298"/>
      <c r="BP25" s="157"/>
      <c r="BQ25" s="156"/>
      <c r="BR25" s="157"/>
      <c r="BS25" s="157"/>
      <c r="BT25" s="156"/>
      <c r="BU25" s="157"/>
      <c r="BV25" s="299"/>
      <c r="BW25" s="157"/>
      <c r="BX25" s="203"/>
      <c r="BY25" s="157"/>
      <c r="BZ25" s="157"/>
      <c r="CA25" s="159"/>
      <c r="CB25" s="161"/>
      <c r="CC25" s="160"/>
      <c r="CD25" s="160"/>
    </row>
    <row r="26" spans="1:83" ht="22.5" customHeight="1">
      <c r="A26" s="659"/>
      <c r="B26" s="660" t="s">
        <v>3</v>
      </c>
      <c r="C26" s="661"/>
      <c r="D26" s="661"/>
      <c r="E26" s="662"/>
      <c r="F26" s="297" t="s">
        <v>2</v>
      </c>
      <c r="G26" s="512">
        <f>COUNTIF(G6:G23,"D")</f>
        <v>12</v>
      </c>
      <c r="H26" s="386">
        <f t="shared" ref="H26:AH26" si="4">COUNTIF(H6:H24,"D")</f>
        <v>6</v>
      </c>
      <c r="I26" s="386">
        <f t="shared" si="4"/>
        <v>0</v>
      </c>
      <c r="J26" s="386">
        <f t="shared" si="4"/>
        <v>16</v>
      </c>
      <c r="K26" s="386">
        <f t="shared" si="4"/>
        <v>10</v>
      </c>
      <c r="L26" s="386">
        <f t="shared" si="4"/>
        <v>15</v>
      </c>
      <c r="M26" s="386">
        <f t="shared" si="4"/>
        <v>14</v>
      </c>
      <c r="N26" s="386">
        <f t="shared" si="4"/>
        <v>17</v>
      </c>
      <c r="O26" s="386">
        <f t="shared" si="4"/>
        <v>6</v>
      </c>
      <c r="P26" s="386">
        <f t="shared" si="4"/>
        <v>0</v>
      </c>
      <c r="Q26" s="386">
        <f t="shared" si="4"/>
        <v>15</v>
      </c>
      <c r="R26" s="386">
        <f t="shared" si="4"/>
        <v>14</v>
      </c>
      <c r="S26" s="386">
        <f t="shared" si="4"/>
        <v>13</v>
      </c>
      <c r="T26" s="386">
        <f t="shared" si="4"/>
        <v>14</v>
      </c>
      <c r="U26" s="386">
        <f t="shared" si="4"/>
        <v>15</v>
      </c>
      <c r="V26" s="386">
        <f t="shared" si="4"/>
        <v>6</v>
      </c>
      <c r="W26" s="386">
        <f t="shared" si="4"/>
        <v>0</v>
      </c>
      <c r="X26" s="386">
        <f t="shared" si="4"/>
        <v>14</v>
      </c>
      <c r="Y26" s="386">
        <f t="shared" si="4"/>
        <v>13</v>
      </c>
      <c r="Z26" s="386">
        <f t="shared" si="4"/>
        <v>15</v>
      </c>
      <c r="AA26" s="386">
        <f t="shared" si="4"/>
        <v>13</v>
      </c>
      <c r="AB26" s="386">
        <f t="shared" si="4"/>
        <v>14</v>
      </c>
      <c r="AC26" s="386">
        <f t="shared" si="4"/>
        <v>6</v>
      </c>
      <c r="AD26" s="386">
        <f t="shared" si="4"/>
        <v>0</v>
      </c>
      <c r="AE26" s="386">
        <f t="shared" si="4"/>
        <v>10</v>
      </c>
      <c r="AF26" s="386">
        <f t="shared" si="4"/>
        <v>15</v>
      </c>
      <c r="AG26" s="386">
        <f t="shared" si="4"/>
        <v>13</v>
      </c>
      <c r="AH26" s="60">
        <f t="shared" si="4"/>
        <v>13</v>
      </c>
      <c r="AI26" s="210">
        <f>COUNTIF(AI6:AI23,"D")</f>
        <v>12</v>
      </c>
      <c r="AJ26" s="211">
        <f>COUNTIF(AJ6:AJ23,"D")</f>
        <v>6</v>
      </c>
      <c r="AK26" s="4">
        <f>COUNTIF(AK6:AK23,"D")</f>
        <v>0</v>
      </c>
      <c r="AL26" s="307">
        <f t="shared" si="0"/>
        <v>0</v>
      </c>
      <c r="AM26" s="293">
        <f t="shared" si="1"/>
        <v>0</v>
      </c>
      <c r="AN26" s="294">
        <f t="shared" si="2"/>
        <v>0</v>
      </c>
      <c r="AO26" s="295">
        <f t="shared" si="3"/>
        <v>0</v>
      </c>
      <c r="AP26" s="10"/>
    </row>
    <row r="27" spans="1:83" ht="22.5" customHeight="1">
      <c r="A27" s="659"/>
      <c r="B27" s="663" t="s">
        <v>4</v>
      </c>
      <c r="C27" s="664"/>
      <c r="D27" s="664"/>
      <c r="E27" s="665"/>
      <c r="F27" s="2" t="s">
        <v>1</v>
      </c>
      <c r="G27" s="14">
        <f t="shared" ref="G27:AK27" si="5">COUNTIF(G6:G25,"●")</f>
        <v>7</v>
      </c>
      <c r="H27" s="14">
        <f t="shared" si="5"/>
        <v>13</v>
      </c>
      <c r="I27" s="14">
        <f t="shared" si="5"/>
        <v>20</v>
      </c>
      <c r="J27" s="14">
        <f t="shared" si="5"/>
        <v>1</v>
      </c>
      <c r="K27" s="14">
        <f t="shared" si="5"/>
        <v>9</v>
      </c>
      <c r="L27" s="14">
        <f t="shared" si="5"/>
        <v>2</v>
      </c>
      <c r="M27" s="14">
        <f t="shared" si="5"/>
        <v>3</v>
      </c>
      <c r="N27" s="14">
        <f t="shared" si="5"/>
        <v>0</v>
      </c>
      <c r="O27" s="14">
        <f t="shared" si="5"/>
        <v>13</v>
      </c>
      <c r="P27" s="14">
        <f t="shared" si="5"/>
        <v>20</v>
      </c>
      <c r="Q27" s="14">
        <f t="shared" si="5"/>
        <v>3</v>
      </c>
      <c r="R27" s="14">
        <f t="shared" si="5"/>
        <v>3</v>
      </c>
      <c r="S27" s="14">
        <f t="shared" si="5"/>
        <v>5</v>
      </c>
      <c r="T27" s="14">
        <f t="shared" si="5"/>
        <v>4</v>
      </c>
      <c r="U27" s="14">
        <f t="shared" si="5"/>
        <v>2</v>
      </c>
      <c r="V27" s="14">
        <f t="shared" si="5"/>
        <v>12</v>
      </c>
      <c r="W27" s="14">
        <f t="shared" si="5"/>
        <v>20</v>
      </c>
      <c r="X27" s="14">
        <f t="shared" si="5"/>
        <v>3</v>
      </c>
      <c r="Y27" s="14">
        <f t="shared" si="5"/>
        <v>5</v>
      </c>
      <c r="Z27" s="14">
        <f t="shared" si="5"/>
        <v>3</v>
      </c>
      <c r="AA27" s="14">
        <f t="shared" si="5"/>
        <v>3</v>
      </c>
      <c r="AB27" s="14">
        <f t="shared" si="5"/>
        <v>3</v>
      </c>
      <c r="AC27" s="14">
        <f t="shared" si="5"/>
        <v>13</v>
      </c>
      <c r="AD27" s="14">
        <f t="shared" si="5"/>
        <v>20</v>
      </c>
      <c r="AE27" s="14">
        <f t="shared" si="5"/>
        <v>9</v>
      </c>
      <c r="AF27" s="14">
        <f t="shared" si="5"/>
        <v>2</v>
      </c>
      <c r="AG27" s="14">
        <f t="shared" si="5"/>
        <v>2</v>
      </c>
      <c r="AH27" s="14">
        <f t="shared" si="5"/>
        <v>4</v>
      </c>
      <c r="AI27" s="14">
        <f t="shared" si="5"/>
        <v>3</v>
      </c>
      <c r="AJ27" s="14">
        <f t="shared" si="5"/>
        <v>13</v>
      </c>
      <c r="AK27" s="14">
        <f t="shared" si="5"/>
        <v>20</v>
      </c>
      <c r="AL27" s="666" t="s">
        <v>174</v>
      </c>
      <c r="AM27" s="667"/>
      <c r="AN27" s="667"/>
      <c r="AO27" s="668"/>
      <c r="AP27" s="10"/>
    </row>
    <row r="28" spans="1:83" ht="22.5" customHeight="1" thickBot="1">
      <c r="A28" s="743"/>
      <c r="B28" s="670" t="s">
        <v>5</v>
      </c>
      <c r="C28" s="671"/>
      <c r="D28" s="671"/>
      <c r="E28" s="672"/>
      <c r="F28" s="3" t="s">
        <v>0</v>
      </c>
      <c r="G28" s="14">
        <f t="shared" ref="G28:AK28" si="6">COUNTIF(G6:G25,"▲")</f>
        <v>0</v>
      </c>
      <c r="H28" s="14">
        <f t="shared" si="6"/>
        <v>0</v>
      </c>
      <c r="I28" s="14">
        <f t="shared" si="6"/>
        <v>0</v>
      </c>
      <c r="J28" s="14">
        <f t="shared" si="6"/>
        <v>0</v>
      </c>
      <c r="K28" s="14">
        <f t="shared" si="6"/>
        <v>0</v>
      </c>
      <c r="L28" s="14">
        <f t="shared" si="6"/>
        <v>1</v>
      </c>
      <c r="M28" s="14">
        <f t="shared" si="6"/>
        <v>1</v>
      </c>
      <c r="N28" s="14">
        <f t="shared" si="6"/>
        <v>1</v>
      </c>
      <c r="O28" s="14">
        <f t="shared" si="6"/>
        <v>0</v>
      </c>
      <c r="P28" s="14">
        <f t="shared" si="6"/>
        <v>0</v>
      </c>
      <c r="Q28" s="14">
        <f t="shared" si="6"/>
        <v>0</v>
      </c>
      <c r="R28" s="14">
        <f t="shared" si="6"/>
        <v>0</v>
      </c>
      <c r="S28" s="14">
        <f t="shared" si="6"/>
        <v>0</v>
      </c>
      <c r="T28" s="14">
        <f t="shared" si="6"/>
        <v>0</v>
      </c>
      <c r="U28" s="14">
        <f t="shared" si="6"/>
        <v>1</v>
      </c>
      <c r="V28" s="14">
        <f t="shared" si="6"/>
        <v>1</v>
      </c>
      <c r="W28" s="14">
        <f t="shared" si="6"/>
        <v>0</v>
      </c>
      <c r="X28" s="14">
        <f t="shared" si="6"/>
        <v>1</v>
      </c>
      <c r="Y28" s="14">
        <f t="shared" si="6"/>
        <v>0</v>
      </c>
      <c r="Z28" s="14">
        <f t="shared" si="6"/>
        <v>0</v>
      </c>
      <c r="AA28" s="14">
        <f t="shared" si="6"/>
        <v>2</v>
      </c>
      <c r="AB28" s="14">
        <f t="shared" si="6"/>
        <v>1</v>
      </c>
      <c r="AC28" s="14">
        <f t="shared" si="6"/>
        <v>0</v>
      </c>
      <c r="AD28" s="14">
        <f t="shared" si="6"/>
        <v>0</v>
      </c>
      <c r="AE28" s="14">
        <f t="shared" si="6"/>
        <v>0</v>
      </c>
      <c r="AF28" s="14">
        <f t="shared" si="6"/>
        <v>1</v>
      </c>
      <c r="AG28" s="14">
        <f t="shared" si="6"/>
        <v>2</v>
      </c>
      <c r="AH28" s="14">
        <f t="shared" si="6"/>
        <v>1</v>
      </c>
      <c r="AI28" s="14">
        <f t="shared" si="6"/>
        <v>2</v>
      </c>
      <c r="AJ28" s="14">
        <f t="shared" si="6"/>
        <v>0</v>
      </c>
      <c r="AK28" s="14">
        <f t="shared" si="6"/>
        <v>0</v>
      </c>
      <c r="AL28" s="52" t="s">
        <v>19</v>
      </c>
      <c r="AM28" s="649" t="s">
        <v>17</v>
      </c>
      <c r="AN28" s="650"/>
      <c r="AO28" s="651"/>
      <c r="AP28" s="10"/>
    </row>
    <row r="29" spans="1:83" ht="22.5" customHeight="1" thickTop="1" thickBot="1">
      <c r="A29" s="743"/>
      <c r="B29" s="654"/>
      <c r="C29" s="654"/>
      <c r="D29" s="654"/>
      <c r="E29" s="654"/>
      <c r="F29" s="654"/>
      <c r="G29" s="286"/>
      <c r="H29" s="651" t="s">
        <v>93</v>
      </c>
      <c r="I29" s="655"/>
      <c r="J29" s="655"/>
      <c r="K29" s="3" t="s">
        <v>0</v>
      </c>
      <c r="L29" s="649" t="s">
        <v>5</v>
      </c>
      <c r="M29" s="651"/>
      <c r="N29" s="5" t="s">
        <v>68</v>
      </c>
      <c r="O29" s="656" t="s">
        <v>177</v>
      </c>
      <c r="P29" s="657"/>
      <c r="Q29" s="658"/>
      <c r="R29" s="5" t="s">
        <v>91</v>
      </c>
      <c r="S29" s="656" t="s">
        <v>179</v>
      </c>
      <c r="T29" s="657"/>
      <c r="U29" s="658"/>
      <c r="V29" s="6" t="s">
        <v>56</v>
      </c>
      <c r="W29" s="644" t="s">
        <v>178</v>
      </c>
      <c r="X29" s="645"/>
      <c r="Y29" s="645"/>
      <c r="Z29" s="6" t="s">
        <v>83</v>
      </c>
      <c r="AA29" s="644" t="s">
        <v>180</v>
      </c>
      <c r="AB29" s="645"/>
      <c r="AC29" s="645"/>
      <c r="AD29" s="152" t="s">
        <v>1</v>
      </c>
      <c r="AE29" s="646" t="s">
        <v>175</v>
      </c>
      <c r="AF29" s="647"/>
      <c r="AG29" s="648"/>
      <c r="AH29" s="513" t="s">
        <v>569</v>
      </c>
      <c r="AI29" s="649" t="s">
        <v>4</v>
      </c>
      <c r="AJ29" s="650"/>
      <c r="AK29" s="651"/>
      <c r="AL29" s="13" t="s">
        <v>20</v>
      </c>
      <c r="AM29" s="649" t="s">
        <v>18</v>
      </c>
      <c r="AN29" s="650"/>
      <c r="AO29" s="651"/>
      <c r="AP29" s="10"/>
    </row>
    <row r="30" spans="1:83" customFormat="1" ht="19" thickTop="1">
      <c r="B30" s="8"/>
      <c r="C30" s="652"/>
      <c r="D30" s="652"/>
      <c r="E30" s="653"/>
      <c r="F30" s="653"/>
      <c r="G30" s="156"/>
      <c r="H30" s="158"/>
      <c r="I30" s="157"/>
      <c r="J30" s="158"/>
      <c r="K30" s="158"/>
      <c r="L30" s="158"/>
      <c r="M30" s="158"/>
      <c r="N30" s="203"/>
      <c r="O30" s="158"/>
      <c r="P30" s="158"/>
      <c r="Q30" s="203"/>
      <c r="R30" s="157"/>
      <c r="S30" s="157"/>
      <c r="T30" s="158"/>
      <c r="U30" s="158"/>
      <c r="V30" s="158"/>
      <c r="W30" s="158"/>
      <c r="X30" s="157"/>
      <c r="Y30" s="157"/>
      <c r="Z30" s="157"/>
      <c r="AA30" s="158"/>
      <c r="AB30" s="203"/>
      <c r="AC30" s="158"/>
      <c r="AD30" s="158"/>
      <c r="AE30" s="203"/>
      <c r="AF30" s="157"/>
      <c r="AG30" s="158"/>
      <c r="AH30" s="158"/>
      <c r="AI30" s="157"/>
      <c r="AJ30" s="158"/>
      <c r="AK30" s="158"/>
      <c r="AN30" s="9"/>
      <c r="AO30" s="11"/>
    </row>
    <row r="31" spans="1:83" s="11" customFormat="1" ht="18">
      <c r="A31" s="1"/>
      <c r="B31" s="652"/>
      <c r="C31" s="652"/>
      <c r="D31" s="652"/>
      <c r="E31" s="652"/>
      <c r="F31" s="653"/>
      <c r="G31" s="653"/>
      <c r="H31" s="156"/>
      <c r="I31" s="158"/>
      <c r="J31" s="157"/>
      <c r="K31" s="158"/>
      <c r="L31" s="158"/>
      <c r="M31" s="157"/>
      <c r="N31" s="157"/>
      <c r="O31" s="203"/>
      <c r="P31" s="158"/>
      <c r="Q31" s="157"/>
      <c r="R31" s="157"/>
      <c r="S31" s="158"/>
      <c r="T31" s="158"/>
      <c r="U31" s="218"/>
      <c r="V31" s="158"/>
      <c r="W31" s="158"/>
      <c r="X31" s="158"/>
      <c r="Y31" s="158"/>
      <c r="Z31" s="156"/>
      <c r="AA31" s="158"/>
      <c r="AB31" s="158"/>
      <c r="AC31" s="158"/>
      <c r="AD31" s="158"/>
      <c r="AE31" s="157"/>
      <c r="AF31" s="158"/>
      <c r="AG31" s="156"/>
      <c r="AH31" s="158"/>
      <c r="AI31" s="158"/>
      <c r="AJ31" s="158"/>
      <c r="AK31" s="158"/>
      <c r="AL31" s="156"/>
      <c r="AM31" s="160"/>
      <c r="AN31" s="160"/>
      <c r="AP31" s="12"/>
      <c r="AQ31" s="1"/>
      <c r="AR31" s="1"/>
      <c r="AS31" s="1"/>
      <c r="AT31" s="1"/>
    </row>
    <row r="32" spans="1:83" s="11" customFormat="1">
      <c r="A32" s="1"/>
      <c r="B32" s="1"/>
      <c r="C32" s="1"/>
      <c r="D32" s="1"/>
      <c r="E32" s="1"/>
      <c r="F32" s="1"/>
      <c r="G32"/>
      <c r="H32" s="1"/>
      <c r="I32" s="1"/>
      <c r="J32" s="8"/>
      <c r="K32" s="8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7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9"/>
      <c r="AP32" s="12"/>
      <c r="AQ32" s="1"/>
      <c r="AR32" s="1"/>
      <c r="AS32" s="1"/>
      <c r="AT32" s="1"/>
    </row>
    <row r="33" spans="1:46" s="11" customFormat="1" ht="18">
      <c r="A33" s="1"/>
      <c r="B33" s="1"/>
      <c r="C33" s="1"/>
      <c r="D33" s="1"/>
      <c r="E33" s="1"/>
      <c r="F33" s="1"/>
      <c r="G33" s="17"/>
      <c r="H33" s="17"/>
      <c r="I33" s="17"/>
      <c r="J33" s="17"/>
      <c r="K33" s="15"/>
      <c r="L33" s="17"/>
      <c r="M33" s="17"/>
      <c r="N33" s="17"/>
      <c r="O33" s="17"/>
      <c r="P33" s="17"/>
      <c r="Q33" s="17"/>
      <c r="R33" s="15"/>
      <c r="S33" s="17"/>
      <c r="T33" s="16"/>
      <c r="U33" s="16"/>
      <c r="V33" s="16"/>
      <c r="W33" s="16"/>
      <c r="X33" s="16"/>
      <c r="Y33" s="15"/>
      <c r="Z33" s="16"/>
      <c r="AA33" s="16"/>
      <c r="AB33" s="16"/>
      <c r="AC33" s="16"/>
      <c r="AD33" s="16"/>
      <c r="AE33" s="16"/>
      <c r="AF33" s="15" t="s">
        <v>41</v>
      </c>
      <c r="AG33" s="16"/>
      <c r="AH33" s="16"/>
      <c r="AI33" s="16"/>
      <c r="AJ33" s="16"/>
      <c r="AK33" s="16"/>
      <c r="AL33" s="1"/>
      <c r="AM33" s="1"/>
      <c r="AN33" s="9"/>
      <c r="AP33" s="12"/>
      <c r="AQ33" s="1"/>
      <c r="AR33" s="1"/>
      <c r="AS33" s="1"/>
      <c r="AT33" s="1"/>
    </row>
    <row r="34" spans="1:46" s="11" customFormat="1">
      <c r="A34" s="1"/>
      <c r="B34" s="1"/>
      <c r="C34" s="1"/>
      <c r="D34" s="1"/>
      <c r="E34" s="1"/>
      <c r="F34" s="1"/>
      <c r="G34"/>
      <c r="H34" s="1"/>
      <c r="I34" s="1"/>
      <c r="J34" s="8"/>
      <c r="K34" s="8"/>
      <c r="L34" s="1"/>
      <c r="M34" t="s">
        <v>27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7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9"/>
      <c r="AP34" s="12"/>
      <c r="AQ34" s="1"/>
      <c r="AR34" s="1"/>
      <c r="AS34" s="1"/>
      <c r="AT34" s="1"/>
    </row>
    <row r="35" spans="1:46" s="11" customFormat="1">
      <c r="A35" s="1"/>
      <c r="B35" s="1"/>
      <c r="C35" s="1"/>
      <c r="D35" s="1"/>
      <c r="E35" s="1"/>
      <c r="F35" s="1"/>
      <c r="G35"/>
      <c r="H35" s="1"/>
      <c r="I35" s="1"/>
      <c r="J35" s="8"/>
      <c r="K35" s="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7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9"/>
      <c r="AP35" s="12"/>
      <c r="AQ35" s="1"/>
      <c r="AR35" s="1"/>
      <c r="AS35" s="1"/>
      <c r="AT35" s="1"/>
    </row>
    <row r="36" spans="1:46" s="11" customFormat="1">
      <c r="A36" s="1"/>
      <c r="B36" s="1"/>
      <c r="C36" s="1"/>
      <c r="D36" s="1"/>
      <c r="E36" s="1"/>
      <c r="F36" s="1"/>
      <c r="G36"/>
      <c r="H36" s="1"/>
      <c r="I36" s="1"/>
      <c r="J36" s="8"/>
      <c r="K36" s="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7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9"/>
      <c r="AP36" s="12"/>
      <c r="AQ36" s="1"/>
      <c r="AR36" s="1"/>
      <c r="AS36" s="1"/>
      <c r="AT36" s="1"/>
    </row>
    <row r="37" spans="1:46" s="11" customFormat="1">
      <c r="A37" s="1"/>
      <c r="B37" s="1"/>
      <c r="C37" s="1"/>
      <c r="D37" s="1"/>
      <c r="E37" s="1"/>
      <c r="F37" s="1"/>
      <c r="G37"/>
      <c r="H37" s="1"/>
      <c r="I37" s="1"/>
      <c r="J37" s="8"/>
      <c r="K37" s="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7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9"/>
      <c r="AP37" s="12"/>
      <c r="AQ37" s="1"/>
      <c r="AR37" s="1"/>
      <c r="AS37" s="1"/>
      <c r="AT37" s="1"/>
    </row>
    <row r="38" spans="1:46" s="11" customFormat="1">
      <c r="A38" s="1"/>
      <c r="B38" s="1"/>
      <c r="C38" s="1"/>
      <c r="D38" s="1"/>
      <c r="E38" s="1"/>
      <c r="F38" s="1"/>
      <c r="G38"/>
      <c r="H38" s="1"/>
      <c r="I38" s="1"/>
      <c r="J38" s="8"/>
      <c r="K38" s="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7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9"/>
      <c r="AP38" s="12"/>
      <c r="AQ38" s="1"/>
      <c r="AR38" s="1"/>
      <c r="AS38" s="1"/>
      <c r="AT38" s="1"/>
    </row>
    <row r="39" spans="1:46" s="11" customFormat="1">
      <c r="A39" s="1"/>
      <c r="B39" s="1"/>
      <c r="C39" s="1"/>
      <c r="D39" s="1"/>
      <c r="E39" s="1"/>
      <c r="F39" s="1"/>
      <c r="G39"/>
      <c r="H39" s="1"/>
      <c r="I39" s="1"/>
      <c r="J39" s="8"/>
      <c r="K39" s="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7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9"/>
      <c r="AP39" s="12"/>
      <c r="AQ39" s="1"/>
      <c r="AR39" s="1"/>
      <c r="AS39" s="1"/>
      <c r="AT39" s="1"/>
    </row>
    <row r="40" spans="1:46" s="11" customFormat="1">
      <c r="A40" s="1"/>
      <c r="B40" s="1"/>
      <c r="C40" s="1"/>
      <c r="D40" s="1"/>
      <c r="E40" s="1"/>
      <c r="F40" s="1"/>
      <c r="G40"/>
      <c r="H40" s="1"/>
      <c r="I40" s="1"/>
      <c r="J40" s="8"/>
      <c r="K40" s="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7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9"/>
      <c r="AP40" s="12"/>
      <c r="AQ40" s="1"/>
      <c r="AR40" s="1"/>
      <c r="AS40" s="1"/>
      <c r="AT40" s="1"/>
    </row>
    <row r="41" spans="1:46" s="11" customFormat="1">
      <c r="A41" s="1"/>
      <c r="B41" s="1"/>
      <c r="C41" s="1"/>
      <c r="D41" s="1"/>
      <c r="E41" s="1"/>
      <c r="F41" s="1"/>
      <c r="G41"/>
      <c r="H41" s="1"/>
      <c r="I41" s="1"/>
      <c r="J41" s="8"/>
      <c r="K41" s="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7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9"/>
      <c r="AP41" s="12"/>
      <c r="AQ41" s="1"/>
      <c r="AR41" s="1"/>
      <c r="AS41" s="1"/>
      <c r="AT41" s="1"/>
    </row>
    <row r="42" spans="1:46" s="11" customFormat="1">
      <c r="A42" s="1"/>
      <c r="B42" s="1"/>
      <c r="C42" s="1"/>
      <c r="D42" s="1"/>
      <c r="E42" s="1"/>
      <c r="F42" s="1"/>
      <c r="G42"/>
      <c r="H42" s="1"/>
      <c r="I42" s="1"/>
      <c r="J42" s="8"/>
      <c r="K42" s="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7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9"/>
      <c r="AP42" s="12"/>
      <c r="AQ42" s="1"/>
      <c r="AR42" s="1"/>
      <c r="AS42" s="1"/>
      <c r="AT42" s="1"/>
    </row>
    <row r="43" spans="1:46" s="11" customFormat="1">
      <c r="A43" s="1"/>
      <c r="B43" s="1"/>
      <c r="C43" s="1"/>
      <c r="D43" s="1"/>
      <c r="E43" s="1"/>
      <c r="F43" s="1"/>
      <c r="G43"/>
      <c r="H43" s="1"/>
      <c r="I43" s="1"/>
      <c r="J43" s="8"/>
      <c r="K43" s="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7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9"/>
      <c r="AP43" s="12"/>
      <c r="AQ43" s="1"/>
      <c r="AR43" s="1"/>
      <c r="AS43" s="1"/>
      <c r="AT43" s="1"/>
    </row>
    <row r="44" spans="1:46" s="11" customFormat="1">
      <c r="A44" s="1"/>
      <c r="B44" s="1"/>
      <c r="C44" s="1"/>
      <c r="D44" s="1"/>
      <c r="E44" s="1"/>
      <c r="F44" s="1"/>
      <c r="G44"/>
      <c r="H44" s="1"/>
      <c r="I44" s="1"/>
      <c r="J44" s="8"/>
      <c r="K44" s="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7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9"/>
      <c r="AP44" s="12"/>
      <c r="AQ44" s="1"/>
      <c r="AR44" s="1"/>
      <c r="AS44" s="1"/>
      <c r="AT44" s="1"/>
    </row>
    <row r="45" spans="1:46" s="11" customFormat="1">
      <c r="A45" s="1"/>
      <c r="B45" s="1"/>
      <c r="C45" s="1"/>
      <c r="D45" s="1"/>
      <c r="E45" s="1"/>
      <c r="F45" s="1"/>
      <c r="G45"/>
      <c r="H45" s="1"/>
      <c r="I45" s="1"/>
      <c r="J45" s="8"/>
      <c r="K45" s="8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7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9"/>
      <c r="AP45" s="12"/>
      <c r="AQ45" s="1"/>
      <c r="AR45" s="1"/>
      <c r="AS45" s="1"/>
      <c r="AT45" s="1"/>
    </row>
    <row r="46" spans="1:46" s="11" customFormat="1">
      <c r="A46" s="1"/>
      <c r="B46" s="1"/>
      <c r="C46" s="1"/>
      <c r="D46" s="1"/>
      <c r="E46" s="1"/>
      <c r="F46" s="1"/>
      <c r="G46"/>
      <c r="H46" s="1"/>
      <c r="I46" s="1"/>
      <c r="J46" s="8"/>
      <c r="K46" s="8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7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9"/>
      <c r="AP46" s="12"/>
      <c r="AQ46" s="1"/>
      <c r="AR46" s="1"/>
      <c r="AS46" s="1"/>
      <c r="AT46" s="1"/>
    </row>
    <row r="47" spans="1:46">
      <c r="Y47" s="1"/>
      <c r="AD47" s="1"/>
    </row>
    <row r="48" spans="1:46" ht="40">
      <c r="R48" s="125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543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527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61" priority="11" operator="equal">
      <formula>8</formula>
    </cfRule>
    <cfRule type="cellIs" dxfId="60" priority="12" operator="equal">
      <formula>0</formula>
    </cfRule>
  </conditionalFormatting>
  <conditionalFormatting sqref="BZ20:BZ21">
    <cfRule type="cellIs" dxfId="59" priority="5" operator="equal">
      <formula>8</formula>
    </cfRule>
    <cfRule type="cellIs" dxfId="58" priority="6" operator="equal">
      <formula>0</formula>
    </cfRule>
  </conditionalFormatting>
  <conditionalFormatting sqref="CA19">
    <cfRule type="cellIs" dxfId="57" priority="1" operator="equal">
      <formula>8</formula>
    </cfRule>
    <cfRule type="cellIs" dxfId="56" priority="2" operator="equal">
      <formula>0</formula>
    </cfRule>
  </conditionalFormatting>
  <conditionalFormatting sqref="CA25">
    <cfRule type="cellIs" dxfId="55" priority="3" operator="equal">
      <formula>8</formula>
    </cfRule>
    <cfRule type="cellIs" dxfId="54" priority="4" operator="equal">
      <formula>0</formula>
    </cfRule>
  </conditionalFormatting>
  <conditionalFormatting sqref="CB24">
    <cfRule type="cellIs" dxfId="53" priority="7" operator="equal">
      <formula>8</formula>
    </cfRule>
    <cfRule type="cellIs" dxfId="52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9431-B1D6-554D-8F08-ED5884C171EE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N8" sqref="N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8" customWidth="1"/>
    <col min="12" max="24" width="3.6640625" style="1" customWidth="1"/>
    <col min="25" max="25" width="3.6640625" style="38" customWidth="1"/>
    <col min="26" max="28" width="3.6640625" style="1" customWidth="1"/>
    <col min="29" max="29" width="3.6640625" style="7" customWidth="1"/>
    <col min="30" max="30" width="3.6640625" style="41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9" customWidth="1"/>
    <col min="41" max="41" width="5.1640625" style="11" customWidth="1"/>
    <col min="42" max="42" width="9" style="12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18"/>
      <c r="B1" s="729" t="s">
        <v>616</v>
      </c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  <c r="AA1" s="729"/>
      <c r="AB1" s="729"/>
      <c r="AC1" s="729"/>
      <c r="AD1" s="729"/>
      <c r="AE1" s="729"/>
      <c r="AF1" s="729"/>
      <c r="AG1" s="729"/>
      <c r="AH1" s="729"/>
      <c r="AI1" s="729"/>
      <c r="AJ1" s="729"/>
      <c r="AK1" s="729"/>
      <c r="AL1" s="729"/>
      <c r="AM1" s="729"/>
      <c r="AN1" s="729"/>
      <c r="AO1" s="729"/>
    </row>
    <row r="2" spans="1:46" ht="22.5" customHeight="1">
      <c r="A2" s="1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29"/>
      <c r="AB2" s="729"/>
      <c r="AC2" s="729"/>
      <c r="AD2" s="729"/>
      <c r="AE2" s="729"/>
      <c r="AF2" s="729"/>
      <c r="AG2" s="729"/>
      <c r="AH2" s="729"/>
      <c r="AI2" s="729"/>
      <c r="AJ2" s="729"/>
      <c r="AK2" s="729"/>
      <c r="AL2" s="729"/>
      <c r="AM2" s="729"/>
      <c r="AN2" s="729"/>
      <c r="AO2" s="729"/>
    </row>
    <row r="3" spans="1:46" ht="22.5" customHeight="1">
      <c r="A3" s="18"/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R3" s="730"/>
      <c r="S3" s="730"/>
      <c r="T3" s="730"/>
      <c r="U3" s="730"/>
      <c r="V3" s="730"/>
      <c r="W3" s="730"/>
      <c r="X3" s="730"/>
      <c r="Y3" s="730"/>
      <c r="Z3" s="730"/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</row>
    <row r="4" spans="1:46" ht="25" customHeight="1">
      <c r="B4" s="731"/>
      <c r="C4" s="733" t="s">
        <v>6</v>
      </c>
      <c r="D4" s="734"/>
      <c r="E4" s="734"/>
      <c r="F4" s="735"/>
      <c r="G4" s="310">
        <v>1</v>
      </c>
      <c r="H4" s="37">
        <v>2</v>
      </c>
      <c r="I4" s="127">
        <v>3</v>
      </c>
      <c r="J4" s="37">
        <v>4</v>
      </c>
      <c r="K4" s="37">
        <v>5</v>
      </c>
      <c r="L4" s="127">
        <v>6</v>
      </c>
      <c r="M4" s="51">
        <v>7</v>
      </c>
      <c r="N4" s="37">
        <v>8</v>
      </c>
      <c r="O4" s="37">
        <v>9</v>
      </c>
      <c r="P4" s="37">
        <v>10</v>
      </c>
      <c r="Q4" s="37">
        <v>11</v>
      </c>
      <c r="R4" s="37">
        <v>12</v>
      </c>
      <c r="S4" s="127">
        <v>13</v>
      </c>
      <c r="T4" s="51">
        <v>14</v>
      </c>
      <c r="U4" s="37">
        <v>15</v>
      </c>
      <c r="V4" s="37">
        <v>16</v>
      </c>
      <c r="W4" s="37">
        <v>17</v>
      </c>
      <c r="X4" s="37">
        <v>18</v>
      </c>
      <c r="Y4" s="37">
        <v>19</v>
      </c>
      <c r="Z4" s="127">
        <v>20</v>
      </c>
      <c r="AA4" s="51">
        <v>21</v>
      </c>
      <c r="AB4" s="37">
        <v>22</v>
      </c>
      <c r="AC4" s="37">
        <v>23</v>
      </c>
      <c r="AD4" s="37">
        <v>24</v>
      </c>
      <c r="AE4" s="37">
        <v>25</v>
      </c>
      <c r="AF4" s="37">
        <v>26</v>
      </c>
      <c r="AG4" s="127">
        <v>27</v>
      </c>
      <c r="AH4" s="51">
        <v>28</v>
      </c>
      <c r="AI4" s="37">
        <v>29</v>
      </c>
      <c r="AJ4" s="37">
        <v>30</v>
      </c>
      <c r="AK4" s="406">
        <v>31</v>
      </c>
      <c r="AL4" s="736" t="s">
        <v>35</v>
      </c>
      <c r="AM4" s="737"/>
      <c r="AN4" s="737"/>
      <c r="AO4" s="738"/>
      <c r="AP4" s="10"/>
    </row>
    <row r="5" spans="1:46" ht="25" customHeight="1">
      <c r="B5" s="732"/>
      <c r="C5" s="739" t="s">
        <v>7</v>
      </c>
      <c r="D5" s="740"/>
      <c r="E5" s="741" t="s">
        <v>8</v>
      </c>
      <c r="F5" s="742"/>
      <c r="G5" s="184" t="s">
        <v>70</v>
      </c>
      <c r="H5" s="185" t="s">
        <v>76</v>
      </c>
      <c r="I5" s="186" t="s">
        <v>50</v>
      </c>
      <c r="J5" s="185" t="s">
        <v>10</v>
      </c>
      <c r="K5" s="185" t="s">
        <v>11</v>
      </c>
      <c r="L5" s="186" t="s">
        <v>12</v>
      </c>
      <c r="M5" s="188" t="s">
        <v>13</v>
      </c>
      <c r="N5" s="185" t="s">
        <v>14</v>
      </c>
      <c r="O5" s="185" t="s">
        <v>15</v>
      </c>
      <c r="P5" s="185" t="s">
        <v>9</v>
      </c>
      <c r="Q5" s="185" t="s">
        <v>10</v>
      </c>
      <c r="R5" s="185" t="s">
        <v>11</v>
      </c>
      <c r="S5" s="186" t="s">
        <v>12</v>
      </c>
      <c r="T5" s="188" t="s">
        <v>13</v>
      </c>
      <c r="U5" s="185" t="s">
        <v>14</v>
      </c>
      <c r="V5" s="185" t="s">
        <v>15</v>
      </c>
      <c r="W5" s="185" t="s">
        <v>9</v>
      </c>
      <c r="X5" s="185" t="s">
        <v>10</v>
      </c>
      <c r="Y5" s="185" t="s">
        <v>11</v>
      </c>
      <c r="Z5" s="186" t="s">
        <v>12</v>
      </c>
      <c r="AA5" s="188" t="s">
        <v>13</v>
      </c>
      <c r="AB5" s="185" t="s">
        <v>14</v>
      </c>
      <c r="AC5" s="185" t="s">
        <v>15</v>
      </c>
      <c r="AD5" s="185" t="s">
        <v>9</v>
      </c>
      <c r="AE5" s="185" t="s">
        <v>10</v>
      </c>
      <c r="AF5" s="185" t="s">
        <v>11</v>
      </c>
      <c r="AG5" s="186" t="s">
        <v>12</v>
      </c>
      <c r="AH5" s="188" t="s">
        <v>13</v>
      </c>
      <c r="AI5" s="185" t="s">
        <v>14</v>
      </c>
      <c r="AJ5" s="185" t="s">
        <v>15</v>
      </c>
      <c r="AK5" s="241"/>
      <c r="AL5" s="3" t="s">
        <v>0</v>
      </c>
      <c r="AM5" s="553" t="s">
        <v>2</v>
      </c>
      <c r="AN5" s="253" t="s">
        <v>1</v>
      </c>
      <c r="AO5" s="36" t="s">
        <v>16</v>
      </c>
      <c r="AP5" s="10"/>
    </row>
    <row r="6" spans="1:46" ht="22" customHeight="1">
      <c r="B6" s="353">
        <v>1</v>
      </c>
      <c r="C6" s="718" t="s">
        <v>191</v>
      </c>
      <c r="D6" s="719"/>
      <c r="E6" s="720" t="s">
        <v>34</v>
      </c>
      <c r="F6" s="721"/>
      <c r="G6" s="76" t="s">
        <v>2</v>
      </c>
      <c r="H6" s="39" t="s">
        <v>2</v>
      </c>
      <c r="I6" s="57" t="s">
        <v>21</v>
      </c>
      <c r="J6" s="53" t="s">
        <v>2</v>
      </c>
      <c r="K6" s="75" t="s">
        <v>2</v>
      </c>
      <c r="L6" s="57" t="s">
        <v>1</v>
      </c>
      <c r="M6" s="75" t="s">
        <v>1</v>
      </c>
      <c r="N6" s="144" t="s">
        <v>2</v>
      </c>
      <c r="O6" s="39" t="s">
        <v>2</v>
      </c>
      <c r="P6" s="75" t="s">
        <v>2</v>
      </c>
      <c r="Q6" s="53" t="s">
        <v>2</v>
      </c>
      <c r="R6" s="75" t="s">
        <v>2</v>
      </c>
      <c r="S6" s="57" t="s">
        <v>21</v>
      </c>
      <c r="T6" s="75" t="s">
        <v>1</v>
      </c>
      <c r="U6" s="75" t="s">
        <v>2</v>
      </c>
      <c r="V6" s="39" t="s">
        <v>2</v>
      </c>
      <c r="W6" s="75" t="s">
        <v>2</v>
      </c>
      <c r="X6" s="39" t="s">
        <v>2</v>
      </c>
      <c r="Y6" s="75" t="s">
        <v>2</v>
      </c>
      <c r="Z6" s="57" t="s">
        <v>21</v>
      </c>
      <c r="AA6" s="75" t="s">
        <v>1</v>
      </c>
      <c r="AB6" s="75" t="s">
        <v>2</v>
      </c>
      <c r="AC6" s="79" t="s">
        <v>2</v>
      </c>
      <c r="AD6" s="75" t="s">
        <v>2</v>
      </c>
      <c r="AE6" s="39" t="s">
        <v>2</v>
      </c>
      <c r="AF6" s="75" t="s">
        <v>2</v>
      </c>
      <c r="AG6" s="57" t="s">
        <v>21</v>
      </c>
      <c r="AH6" s="75" t="s">
        <v>1</v>
      </c>
      <c r="AI6" s="75" t="s">
        <v>2</v>
      </c>
      <c r="AJ6" s="39" t="s">
        <v>2</v>
      </c>
      <c r="AK6" s="75"/>
      <c r="AL6" s="55">
        <f t="shared" ref="AL6:AL26" si="0">COUNTIF(G6:AK6,"▲")</f>
        <v>0</v>
      </c>
      <c r="AM6" s="21">
        <f t="shared" ref="AM6:AM26" si="1">COUNTIF(G6:AK6,"D")</f>
        <v>21</v>
      </c>
      <c r="AN6" s="22">
        <f t="shared" ref="AN6:AN26" si="2">COUNTIF(G6:AK6,"●")</f>
        <v>9</v>
      </c>
      <c r="AO6" s="27">
        <f>AN6+AL6</f>
        <v>9</v>
      </c>
      <c r="AP6" s="10"/>
    </row>
    <row r="7" spans="1:46" ht="21.75" customHeight="1">
      <c r="B7" s="54">
        <v>2</v>
      </c>
      <c r="C7" s="710" t="s">
        <v>22</v>
      </c>
      <c r="D7" s="722"/>
      <c r="E7" s="723" t="s">
        <v>23</v>
      </c>
      <c r="F7" s="724"/>
      <c r="G7" s="100" t="s">
        <v>2</v>
      </c>
      <c r="H7" s="43" t="s">
        <v>2</v>
      </c>
      <c r="I7" s="46" t="s">
        <v>2</v>
      </c>
      <c r="J7" s="93" t="s">
        <v>2</v>
      </c>
      <c r="K7" s="93" t="s">
        <v>2</v>
      </c>
      <c r="L7" s="93" t="s">
        <v>2</v>
      </c>
      <c r="M7" s="46" t="s">
        <v>21</v>
      </c>
      <c r="N7" s="93" t="s">
        <v>2</v>
      </c>
      <c r="O7" s="43" t="s">
        <v>2</v>
      </c>
      <c r="P7" s="46" t="s">
        <v>2</v>
      </c>
      <c r="Q7" s="43" t="s">
        <v>2</v>
      </c>
      <c r="R7" s="43" t="s">
        <v>2</v>
      </c>
      <c r="S7" s="141" t="s">
        <v>21</v>
      </c>
      <c r="T7" s="46" t="s">
        <v>21</v>
      </c>
      <c r="U7" s="93" t="s">
        <v>2</v>
      </c>
      <c r="V7" s="43" t="s">
        <v>2</v>
      </c>
      <c r="W7" s="82" t="s">
        <v>21</v>
      </c>
      <c r="X7" s="50" t="s">
        <v>21</v>
      </c>
      <c r="Y7" s="43" t="s">
        <v>2</v>
      </c>
      <c r="Z7" s="141" t="s">
        <v>21</v>
      </c>
      <c r="AA7" s="46" t="s">
        <v>21</v>
      </c>
      <c r="AB7" s="93" t="s">
        <v>2</v>
      </c>
      <c r="AC7" s="43" t="s">
        <v>2</v>
      </c>
      <c r="AD7" s="93" t="s">
        <v>2</v>
      </c>
      <c r="AE7" s="43" t="s">
        <v>2</v>
      </c>
      <c r="AF7" s="93" t="s">
        <v>2</v>
      </c>
      <c r="AG7" s="171" t="s">
        <v>21</v>
      </c>
      <c r="AH7" s="46" t="s">
        <v>21</v>
      </c>
      <c r="AI7" s="43" t="s">
        <v>2</v>
      </c>
      <c r="AJ7" s="43" t="s">
        <v>2</v>
      </c>
      <c r="AK7" s="46"/>
      <c r="AL7" s="221">
        <f t="shared" si="0"/>
        <v>0</v>
      </c>
      <c r="AM7" s="260">
        <f t="shared" si="1"/>
        <v>21</v>
      </c>
      <c r="AN7" s="32">
        <f t="shared" si="2"/>
        <v>9</v>
      </c>
      <c r="AO7" s="167">
        <f>AN7+AL7</f>
        <v>9</v>
      </c>
      <c r="AP7" s="10"/>
      <c r="AQ7"/>
      <c r="AT7"/>
    </row>
    <row r="8" spans="1:46" ht="22" customHeight="1">
      <c r="B8" s="353">
        <v>3</v>
      </c>
      <c r="C8" s="725" t="s">
        <v>36</v>
      </c>
      <c r="D8" s="726"/>
      <c r="E8" s="727" t="s">
        <v>37</v>
      </c>
      <c r="F8" s="728"/>
      <c r="G8" s="380" t="s">
        <v>2</v>
      </c>
      <c r="H8" s="75" t="s">
        <v>2</v>
      </c>
      <c r="I8" s="75" t="s">
        <v>2</v>
      </c>
      <c r="J8" s="136" t="s">
        <v>21</v>
      </c>
      <c r="K8" s="137" t="s">
        <v>21</v>
      </c>
      <c r="L8" s="40" t="s">
        <v>2</v>
      </c>
      <c r="M8" s="75" t="s">
        <v>21</v>
      </c>
      <c r="N8" s="75" t="s">
        <v>2</v>
      </c>
      <c r="O8" s="75" t="s">
        <v>2</v>
      </c>
      <c r="P8" s="75" t="s">
        <v>2</v>
      </c>
      <c r="Q8" s="57" t="s">
        <v>21</v>
      </c>
      <c r="R8" s="201" t="s">
        <v>0</v>
      </c>
      <c r="S8" s="42" t="s">
        <v>2</v>
      </c>
      <c r="T8" s="75" t="s">
        <v>21</v>
      </c>
      <c r="U8" s="242" t="s">
        <v>56</v>
      </c>
      <c r="V8" s="75" t="s">
        <v>2</v>
      </c>
      <c r="W8" s="75" t="s">
        <v>2</v>
      </c>
      <c r="X8" s="57" t="s">
        <v>21</v>
      </c>
      <c r="Y8" s="233" t="s">
        <v>21</v>
      </c>
      <c r="Z8" s="71" t="s">
        <v>2</v>
      </c>
      <c r="AA8" s="75" t="s">
        <v>21</v>
      </c>
      <c r="AB8" s="75" t="s">
        <v>2</v>
      </c>
      <c r="AC8" s="98" t="s">
        <v>2</v>
      </c>
      <c r="AD8" s="239" t="s">
        <v>40</v>
      </c>
      <c r="AE8" s="71" t="s">
        <v>2</v>
      </c>
      <c r="AF8" s="71" t="s">
        <v>2</v>
      </c>
      <c r="AG8" s="75" t="s">
        <v>2</v>
      </c>
      <c r="AH8" s="75" t="s">
        <v>21</v>
      </c>
      <c r="AI8" s="75" t="s">
        <v>2</v>
      </c>
      <c r="AJ8" s="257" t="s">
        <v>2</v>
      </c>
      <c r="AK8" s="75"/>
      <c r="AL8" s="124">
        <f t="shared" si="0"/>
        <v>2</v>
      </c>
      <c r="AM8" s="33">
        <f t="shared" si="1"/>
        <v>18</v>
      </c>
      <c r="AN8" s="22">
        <f t="shared" si="2"/>
        <v>9</v>
      </c>
      <c r="AO8" s="27">
        <f>AN8+AL8</f>
        <v>11</v>
      </c>
      <c r="AP8" s="10"/>
      <c r="AR8"/>
    </row>
    <row r="9" spans="1:46" ht="22" hidden="1" customHeight="1">
      <c r="A9" s="701"/>
      <c r="B9" s="20">
        <v>4</v>
      </c>
      <c r="C9" s="781"/>
      <c r="D9" s="782"/>
      <c r="E9" s="704"/>
      <c r="F9" s="705"/>
      <c r="G9" s="70"/>
      <c r="H9" s="388"/>
      <c r="I9" s="40"/>
      <c r="J9" s="59"/>
      <c r="K9" s="40"/>
      <c r="L9" s="59"/>
      <c r="M9" s="40" t="s">
        <v>1</v>
      </c>
      <c r="N9" s="45"/>
      <c r="O9" s="59"/>
      <c r="P9" s="40"/>
      <c r="Q9" s="59"/>
      <c r="R9" s="40"/>
      <c r="S9" s="40"/>
      <c r="T9" s="40" t="s">
        <v>1</v>
      </c>
      <c r="U9" s="42"/>
      <c r="V9" s="40"/>
      <c r="W9" s="40"/>
      <c r="X9" s="59"/>
      <c r="Y9" s="40"/>
      <c r="Z9" s="44"/>
      <c r="AA9" s="40" t="s">
        <v>1</v>
      </c>
      <c r="AB9" s="44"/>
      <c r="AC9" s="59"/>
      <c r="AD9" s="40"/>
      <c r="AE9" s="59"/>
      <c r="AF9" s="40"/>
      <c r="AG9" s="57"/>
      <c r="AH9" s="40" t="s">
        <v>1</v>
      </c>
      <c r="AI9" s="40"/>
      <c r="AJ9" s="59"/>
      <c r="AK9" s="40"/>
      <c r="AL9" s="30">
        <f t="shared" si="0"/>
        <v>0</v>
      </c>
      <c r="AM9" s="25">
        <f t="shared" si="1"/>
        <v>0</v>
      </c>
      <c r="AN9" s="26">
        <f t="shared" si="2"/>
        <v>4</v>
      </c>
      <c r="AO9" s="29"/>
      <c r="AP9" s="10"/>
      <c r="AR9" t="s">
        <v>168</v>
      </c>
      <c r="AS9" t="s">
        <v>169</v>
      </c>
      <c r="AT9" t="s">
        <v>170</v>
      </c>
    </row>
    <row r="10" spans="1:46" ht="22" customHeight="1">
      <c r="A10" s="701"/>
      <c r="B10" s="20">
        <v>4</v>
      </c>
      <c r="C10" s="702" t="s">
        <v>46</v>
      </c>
      <c r="D10" s="703"/>
      <c r="E10" s="704" t="s">
        <v>24</v>
      </c>
      <c r="F10" s="705"/>
      <c r="G10" s="58" t="s">
        <v>2</v>
      </c>
      <c r="H10" s="59" t="s">
        <v>2</v>
      </c>
      <c r="I10" s="59" t="s">
        <v>2</v>
      </c>
      <c r="J10" s="59" t="s">
        <v>2</v>
      </c>
      <c r="K10" s="59" t="s">
        <v>2</v>
      </c>
      <c r="L10" s="59" t="s">
        <v>2</v>
      </c>
      <c r="M10" s="59" t="s">
        <v>21</v>
      </c>
      <c r="N10" s="137" t="s">
        <v>21</v>
      </c>
      <c r="O10" s="40" t="s">
        <v>2</v>
      </c>
      <c r="P10" s="59" t="s">
        <v>2</v>
      </c>
      <c r="Q10" s="40" t="s">
        <v>2</v>
      </c>
      <c r="R10" s="57" t="s">
        <v>1</v>
      </c>
      <c r="S10" s="57" t="s">
        <v>1</v>
      </c>
      <c r="T10" s="59" t="s">
        <v>21</v>
      </c>
      <c r="U10" s="40" t="s">
        <v>2</v>
      </c>
      <c r="V10" s="40" t="s">
        <v>2</v>
      </c>
      <c r="W10" s="59" t="s">
        <v>2</v>
      </c>
      <c r="X10" s="40" t="s">
        <v>2</v>
      </c>
      <c r="Y10" s="57" t="s">
        <v>1</v>
      </c>
      <c r="Z10" s="40" t="s">
        <v>2</v>
      </c>
      <c r="AA10" s="59" t="s">
        <v>21</v>
      </c>
      <c r="AB10" s="222" t="s">
        <v>19</v>
      </c>
      <c r="AC10" s="111" t="s">
        <v>40</v>
      </c>
      <c r="AD10" s="111" t="s">
        <v>40</v>
      </c>
      <c r="AE10" s="59" t="s">
        <v>2</v>
      </c>
      <c r="AF10" s="59" t="s">
        <v>2</v>
      </c>
      <c r="AG10" s="40" t="s">
        <v>2</v>
      </c>
      <c r="AH10" s="59" t="s">
        <v>21</v>
      </c>
      <c r="AI10" s="57" t="s">
        <v>1</v>
      </c>
      <c r="AJ10" s="40" t="s">
        <v>2</v>
      </c>
      <c r="AK10" s="59"/>
      <c r="AL10" s="30">
        <f t="shared" si="0"/>
        <v>2</v>
      </c>
      <c r="AM10" s="25">
        <f t="shared" si="1"/>
        <v>18</v>
      </c>
      <c r="AN10" s="26">
        <f t="shared" si="2"/>
        <v>9</v>
      </c>
      <c r="AO10" s="29">
        <f t="shared" ref="AO10:AO26" si="3">AN10+AL10</f>
        <v>11</v>
      </c>
      <c r="AP10" s="10">
        <v>4</v>
      </c>
      <c r="AQ10"/>
      <c r="AR10"/>
      <c r="AS10"/>
      <c r="AT10"/>
    </row>
    <row r="11" spans="1:46" ht="22" customHeight="1">
      <c r="A11" s="701"/>
      <c r="B11" s="20">
        <v>5</v>
      </c>
      <c r="C11" s="706" t="s">
        <v>167</v>
      </c>
      <c r="D11" s="707"/>
      <c r="E11" s="698" t="s">
        <v>24</v>
      </c>
      <c r="F11" s="699"/>
      <c r="G11" s="154" t="s">
        <v>21</v>
      </c>
      <c r="H11" s="40" t="s">
        <v>2</v>
      </c>
      <c r="I11" s="59" t="s">
        <v>2</v>
      </c>
      <c r="J11" s="47" t="s">
        <v>2</v>
      </c>
      <c r="K11" s="40" t="s">
        <v>2</v>
      </c>
      <c r="L11" s="59" t="s">
        <v>2</v>
      </c>
      <c r="M11" s="59" t="s">
        <v>1</v>
      </c>
      <c r="N11" s="59" t="s">
        <v>2</v>
      </c>
      <c r="O11" s="137" t="s">
        <v>21</v>
      </c>
      <c r="P11" s="59" t="s">
        <v>2</v>
      </c>
      <c r="Q11" s="40" t="s">
        <v>2</v>
      </c>
      <c r="R11" s="59" t="s">
        <v>2</v>
      </c>
      <c r="S11" s="257" t="s">
        <v>2</v>
      </c>
      <c r="T11" s="59" t="s">
        <v>1</v>
      </c>
      <c r="U11" s="57" t="s">
        <v>21</v>
      </c>
      <c r="V11" s="40" t="s">
        <v>2</v>
      </c>
      <c r="W11" s="59" t="s">
        <v>2</v>
      </c>
      <c r="X11" s="40" t="s">
        <v>2</v>
      </c>
      <c r="Y11" s="59" t="s">
        <v>2</v>
      </c>
      <c r="Z11" s="57" t="s">
        <v>1</v>
      </c>
      <c r="AA11" s="59" t="s">
        <v>1</v>
      </c>
      <c r="AB11" s="71" t="s">
        <v>2</v>
      </c>
      <c r="AC11" s="40" t="s">
        <v>2</v>
      </c>
      <c r="AD11" s="59" t="s">
        <v>2</v>
      </c>
      <c r="AE11" s="40" t="s">
        <v>2</v>
      </c>
      <c r="AF11" s="111" t="s">
        <v>40</v>
      </c>
      <c r="AG11" s="137" t="s">
        <v>21</v>
      </c>
      <c r="AH11" s="59" t="s">
        <v>1</v>
      </c>
      <c r="AI11" s="59" t="s">
        <v>2</v>
      </c>
      <c r="AJ11" s="40" t="s">
        <v>2</v>
      </c>
      <c r="AK11" s="59"/>
      <c r="AL11" s="30">
        <f t="shared" si="0"/>
        <v>1</v>
      </c>
      <c r="AM11" s="25">
        <f t="shared" si="1"/>
        <v>20</v>
      </c>
      <c r="AN11" s="26">
        <f t="shared" si="2"/>
        <v>9</v>
      </c>
      <c r="AO11" s="29">
        <f t="shared" si="3"/>
        <v>10</v>
      </c>
      <c r="AP11" s="238">
        <v>7</v>
      </c>
      <c r="AR11"/>
    </row>
    <row r="12" spans="1:46" ht="22" customHeight="1">
      <c r="A12" s="701"/>
      <c r="B12" s="20">
        <v>6</v>
      </c>
      <c r="C12" s="708" t="s">
        <v>617</v>
      </c>
      <c r="D12" s="709"/>
      <c r="E12" s="673" t="s">
        <v>32</v>
      </c>
      <c r="F12" s="674"/>
      <c r="G12" s="70" t="s">
        <v>2</v>
      </c>
      <c r="H12" s="40" t="s">
        <v>2</v>
      </c>
      <c r="I12" s="57" t="s">
        <v>21</v>
      </c>
      <c r="J12" s="40" t="s">
        <v>2</v>
      </c>
      <c r="K12" s="40" t="s">
        <v>2</v>
      </c>
      <c r="L12" s="114" t="s">
        <v>21</v>
      </c>
      <c r="M12" s="40" t="s">
        <v>1</v>
      </c>
      <c r="N12" s="40" t="s">
        <v>2</v>
      </c>
      <c r="O12" s="40" t="s">
        <v>2</v>
      </c>
      <c r="P12" s="57" t="s">
        <v>21</v>
      </c>
      <c r="Q12" s="40" t="s">
        <v>2</v>
      </c>
      <c r="R12" s="40" t="s">
        <v>2</v>
      </c>
      <c r="S12" s="257" t="s">
        <v>2</v>
      </c>
      <c r="T12" s="40" t="s">
        <v>1</v>
      </c>
      <c r="U12" s="40" t="s">
        <v>2</v>
      </c>
      <c r="V12" s="40" t="s">
        <v>2</v>
      </c>
      <c r="W12" s="57" t="s">
        <v>21</v>
      </c>
      <c r="X12" s="40" t="s">
        <v>2</v>
      </c>
      <c r="Y12" s="40" t="s">
        <v>2</v>
      </c>
      <c r="Z12" s="59" t="s">
        <v>2</v>
      </c>
      <c r="AA12" s="40" t="s">
        <v>1</v>
      </c>
      <c r="AB12" s="40" t="s">
        <v>2</v>
      </c>
      <c r="AC12" s="40" t="s">
        <v>2</v>
      </c>
      <c r="AD12" s="40" t="s">
        <v>2</v>
      </c>
      <c r="AE12" s="40" t="s">
        <v>2</v>
      </c>
      <c r="AF12" s="40" t="s">
        <v>2</v>
      </c>
      <c r="AG12" s="137" t="s">
        <v>1</v>
      </c>
      <c r="AH12" s="40" t="s">
        <v>1</v>
      </c>
      <c r="AI12" s="40" t="s">
        <v>2</v>
      </c>
      <c r="AJ12" s="40" t="s">
        <v>2</v>
      </c>
      <c r="AK12" s="40"/>
      <c r="AL12" s="30">
        <f t="shared" si="0"/>
        <v>0</v>
      </c>
      <c r="AM12" s="25">
        <f t="shared" si="1"/>
        <v>21</v>
      </c>
      <c r="AN12" s="26">
        <f t="shared" si="2"/>
        <v>9</v>
      </c>
      <c r="AO12" s="29">
        <f t="shared" si="3"/>
        <v>9</v>
      </c>
      <c r="AP12" s="409"/>
      <c r="AS12"/>
      <c r="AT12"/>
    </row>
    <row r="13" spans="1:46" ht="22" customHeight="1" thickBot="1">
      <c r="A13" s="701"/>
      <c r="B13" s="54">
        <v>7</v>
      </c>
      <c r="C13" s="710" t="s">
        <v>29</v>
      </c>
      <c r="D13" s="711"/>
      <c r="E13" s="712" t="s">
        <v>28</v>
      </c>
      <c r="F13" s="713"/>
      <c r="G13" s="66" t="s">
        <v>2</v>
      </c>
      <c r="H13" s="44" t="s">
        <v>2</v>
      </c>
      <c r="I13" s="50" t="s">
        <v>21</v>
      </c>
      <c r="J13" s="43" t="s">
        <v>2</v>
      </c>
      <c r="K13" s="93" t="s">
        <v>2</v>
      </c>
      <c r="L13" s="50" t="s">
        <v>1</v>
      </c>
      <c r="M13" s="93" t="s">
        <v>1</v>
      </c>
      <c r="N13" s="129" t="s">
        <v>2</v>
      </c>
      <c r="O13" s="44" t="s">
        <v>2</v>
      </c>
      <c r="P13" s="121" t="s">
        <v>2</v>
      </c>
      <c r="Q13" s="44" t="s">
        <v>2</v>
      </c>
      <c r="R13" s="121" t="s">
        <v>2</v>
      </c>
      <c r="S13" s="83" t="s">
        <v>21</v>
      </c>
      <c r="T13" s="93" t="s">
        <v>1</v>
      </c>
      <c r="U13" s="93" t="s">
        <v>2</v>
      </c>
      <c r="V13" s="43" t="s">
        <v>2</v>
      </c>
      <c r="W13" s="93" t="s">
        <v>2</v>
      </c>
      <c r="X13" s="43" t="s">
        <v>2</v>
      </c>
      <c r="Y13" s="93" t="s">
        <v>2</v>
      </c>
      <c r="Z13" s="50" t="s">
        <v>21</v>
      </c>
      <c r="AA13" s="93" t="s">
        <v>1</v>
      </c>
      <c r="AB13" s="196" t="s">
        <v>40</v>
      </c>
      <c r="AC13" s="109" t="s">
        <v>2</v>
      </c>
      <c r="AD13" s="93" t="s">
        <v>2</v>
      </c>
      <c r="AE13" s="43" t="s">
        <v>2</v>
      </c>
      <c r="AF13" s="93" t="s">
        <v>2</v>
      </c>
      <c r="AG13" s="50" t="s">
        <v>21</v>
      </c>
      <c r="AH13" s="93" t="s">
        <v>1</v>
      </c>
      <c r="AI13" s="121" t="s">
        <v>2</v>
      </c>
      <c r="AJ13" s="44" t="s">
        <v>2</v>
      </c>
      <c r="AK13" s="121"/>
      <c r="AL13" s="221">
        <f t="shared" si="0"/>
        <v>1</v>
      </c>
      <c r="AM13" s="260">
        <f t="shared" si="1"/>
        <v>20</v>
      </c>
      <c r="AN13" s="32">
        <f t="shared" si="2"/>
        <v>9</v>
      </c>
      <c r="AO13" s="167">
        <f t="shared" si="3"/>
        <v>10</v>
      </c>
      <c r="AP13" s="10"/>
    </row>
    <row r="14" spans="1:46" ht="22" customHeight="1">
      <c r="A14" s="701"/>
      <c r="B14" s="353">
        <v>8</v>
      </c>
      <c r="C14" s="714" t="s">
        <v>25</v>
      </c>
      <c r="D14" s="715"/>
      <c r="E14" s="785" t="s">
        <v>30</v>
      </c>
      <c r="F14" s="771"/>
      <c r="G14" s="402" t="s">
        <v>21</v>
      </c>
      <c r="H14" s="75" t="s">
        <v>2</v>
      </c>
      <c r="I14" s="42" t="s">
        <v>2</v>
      </c>
      <c r="J14" s="42" t="s">
        <v>2</v>
      </c>
      <c r="K14" s="56" t="s">
        <v>21</v>
      </c>
      <c r="L14" s="42" t="s">
        <v>2</v>
      </c>
      <c r="M14" s="71" t="s">
        <v>21</v>
      </c>
      <c r="N14" s="270" t="s">
        <v>2</v>
      </c>
      <c r="O14" s="545" t="s">
        <v>2</v>
      </c>
      <c r="P14" s="546" t="s">
        <v>2</v>
      </c>
      <c r="Q14" s="169" t="s">
        <v>2</v>
      </c>
      <c r="R14" s="169" t="s">
        <v>2</v>
      </c>
      <c r="S14" s="316" t="s">
        <v>1</v>
      </c>
      <c r="T14" s="71" t="s">
        <v>21</v>
      </c>
      <c r="U14" s="42" t="s">
        <v>2</v>
      </c>
      <c r="V14" s="42" t="s">
        <v>2</v>
      </c>
      <c r="W14" s="71" t="s">
        <v>2</v>
      </c>
      <c r="X14" s="136" t="s">
        <v>1</v>
      </c>
      <c r="Y14" s="71" t="s">
        <v>2</v>
      </c>
      <c r="Z14" s="42" t="s">
        <v>2</v>
      </c>
      <c r="AA14" s="71" t="s">
        <v>21</v>
      </c>
      <c r="AB14" s="71" t="s">
        <v>2</v>
      </c>
      <c r="AC14" s="111" t="s">
        <v>40</v>
      </c>
      <c r="AD14" s="71" t="s">
        <v>2</v>
      </c>
      <c r="AE14" s="71" t="s">
        <v>2</v>
      </c>
      <c r="AF14" s="71" t="s">
        <v>2</v>
      </c>
      <c r="AG14" s="170" t="s">
        <v>21</v>
      </c>
      <c r="AH14" s="71" t="s">
        <v>21</v>
      </c>
      <c r="AI14" s="270" t="s">
        <v>2</v>
      </c>
      <c r="AJ14" s="287" t="s">
        <v>2</v>
      </c>
      <c r="AK14" s="359"/>
      <c r="AL14" s="55">
        <f t="shared" si="0"/>
        <v>1</v>
      </c>
      <c r="AM14" s="21">
        <f t="shared" si="1"/>
        <v>20</v>
      </c>
      <c r="AN14" s="22">
        <f t="shared" si="2"/>
        <v>9</v>
      </c>
      <c r="AO14" s="27">
        <f t="shared" si="3"/>
        <v>10</v>
      </c>
      <c r="AP14" s="238">
        <v>4</v>
      </c>
      <c r="AQ14" s="470"/>
      <c r="AR14" s="700"/>
      <c r="AS14" s="700"/>
      <c r="AT14"/>
    </row>
    <row r="15" spans="1:46" ht="21.75" customHeight="1">
      <c r="A15" s="19" t="s">
        <v>80</v>
      </c>
      <c r="B15" s="301">
        <v>9</v>
      </c>
      <c r="C15" s="684" t="s">
        <v>49</v>
      </c>
      <c r="D15" s="685"/>
      <c r="E15" s="698" t="s">
        <v>31</v>
      </c>
      <c r="F15" s="699"/>
      <c r="G15" s="70" t="s">
        <v>2</v>
      </c>
      <c r="H15" s="59" t="s">
        <v>2</v>
      </c>
      <c r="I15" s="114" t="s">
        <v>21</v>
      </c>
      <c r="J15" s="137" t="s">
        <v>21</v>
      </c>
      <c r="K15" s="59" t="s">
        <v>2</v>
      </c>
      <c r="L15" s="59" t="s">
        <v>2</v>
      </c>
      <c r="M15" s="40" t="s">
        <v>21</v>
      </c>
      <c r="N15" s="285" t="s">
        <v>2</v>
      </c>
      <c r="O15" s="388" t="s">
        <v>2</v>
      </c>
      <c r="P15" s="45" t="s">
        <v>2</v>
      </c>
      <c r="Q15" s="59" t="s">
        <v>2</v>
      </c>
      <c r="R15" s="40" t="s">
        <v>2</v>
      </c>
      <c r="S15" s="318" t="s">
        <v>21</v>
      </c>
      <c r="T15" s="64" t="s">
        <v>21</v>
      </c>
      <c r="U15" s="40" t="s">
        <v>2</v>
      </c>
      <c r="V15" s="59" t="s">
        <v>2</v>
      </c>
      <c r="W15" s="40" t="s">
        <v>2</v>
      </c>
      <c r="X15" s="59" t="s">
        <v>2</v>
      </c>
      <c r="Y15" s="40" t="s">
        <v>2</v>
      </c>
      <c r="Z15" s="57" t="s">
        <v>1</v>
      </c>
      <c r="AA15" s="40" t="s">
        <v>21</v>
      </c>
      <c r="AB15" s="40" t="s">
        <v>2</v>
      </c>
      <c r="AC15" s="59" t="s">
        <v>2</v>
      </c>
      <c r="AD15" s="40" t="s">
        <v>2</v>
      </c>
      <c r="AE15" s="59" t="s">
        <v>2</v>
      </c>
      <c r="AF15" s="137" t="s">
        <v>1</v>
      </c>
      <c r="AG15" s="40" t="s">
        <v>2</v>
      </c>
      <c r="AH15" s="40" t="s">
        <v>21</v>
      </c>
      <c r="AI15" s="280" t="s">
        <v>2</v>
      </c>
      <c r="AJ15" s="313" t="s">
        <v>2</v>
      </c>
      <c r="AK15" s="189"/>
      <c r="AL15" s="30">
        <f t="shared" si="0"/>
        <v>0</v>
      </c>
      <c r="AM15" s="25">
        <f t="shared" si="1"/>
        <v>21</v>
      </c>
      <c r="AN15" s="26">
        <f t="shared" si="2"/>
        <v>9</v>
      </c>
      <c r="AO15" s="29">
        <f t="shared" si="3"/>
        <v>9</v>
      </c>
      <c r="AP15" s="238">
        <v>2</v>
      </c>
      <c r="AQ15"/>
      <c r="AR15" s="96"/>
      <c r="AS15" s="96"/>
    </row>
    <row r="16" spans="1:46" ht="21.75" customHeight="1">
      <c r="A16" s="19"/>
      <c r="B16" s="301">
        <v>10</v>
      </c>
      <c r="C16" s="684" t="s">
        <v>114</v>
      </c>
      <c r="D16" s="685"/>
      <c r="E16" s="698" t="s">
        <v>31</v>
      </c>
      <c r="F16" s="699"/>
      <c r="G16" s="58" t="s">
        <v>2</v>
      </c>
      <c r="H16" s="111" t="s">
        <v>40</v>
      </c>
      <c r="I16" s="40" t="s">
        <v>2</v>
      </c>
      <c r="J16" s="59" t="s">
        <v>2</v>
      </c>
      <c r="K16" s="59" t="s">
        <v>2</v>
      </c>
      <c r="L16" s="137" t="s">
        <v>21</v>
      </c>
      <c r="M16" s="59" t="s">
        <v>21</v>
      </c>
      <c r="N16" s="285" t="s">
        <v>2</v>
      </c>
      <c r="O16" s="388" t="s">
        <v>2</v>
      </c>
      <c r="P16" s="388" t="s">
        <v>2</v>
      </c>
      <c r="Q16" s="59" t="s">
        <v>2</v>
      </c>
      <c r="R16" s="114" t="s">
        <v>21</v>
      </c>
      <c r="S16" s="284" t="s">
        <v>2</v>
      </c>
      <c r="T16" s="59" t="s">
        <v>21</v>
      </c>
      <c r="U16" s="59" t="s">
        <v>2</v>
      </c>
      <c r="V16" s="40" t="s">
        <v>2</v>
      </c>
      <c r="W16" s="59" t="s">
        <v>2</v>
      </c>
      <c r="X16" s="59" t="s">
        <v>2</v>
      </c>
      <c r="Y16" s="137" t="s">
        <v>1</v>
      </c>
      <c r="Z16" s="114" t="s">
        <v>21</v>
      </c>
      <c r="AA16" s="59" t="s">
        <v>21</v>
      </c>
      <c r="AB16" s="111" t="s">
        <v>40</v>
      </c>
      <c r="AC16" s="59" t="s">
        <v>2</v>
      </c>
      <c r="AD16" s="121" t="s">
        <v>2</v>
      </c>
      <c r="AE16" s="59" t="s">
        <v>2</v>
      </c>
      <c r="AF16" s="59" t="s">
        <v>2</v>
      </c>
      <c r="AG16" s="57" t="s">
        <v>21</v>
      </c>
      <c r="AH16" s="59" t="s">
        <v>21</v>
      </c>
      <c r="AI16" s="280" t="s">
        <v>2</v>
      </c>
      <c r="AJ16" s="313" t="s">
        <v>2</v>
      </c>
      <c r="AK16" s="198"/>
      <c r="AL16" s="30">
        <f t="shared" si="0"/>
        <v>2</v>
      </c>
      <c r="AM16" s="25">
        <f t="shared" si="1"/>
        <v>19</v>
      </c>
      <c r="AN16" s="26">
        <f t="shared" si="2"/>
        <v>9</v>
      </c>
      <c r="AO16" s="29">
        <f t="shared" si="3"/>
        <v>11</v>
      </c>
      <c r="AP16" s="10">
        <v>3</v>
      </c>
      <c r="AR16" s="96"/>
      <c r="AS16" s="96"/>
    </row>
    <row r="17" spans="1:83" ht="21.75" customHeight="1" thickBot="1">
      <c r="A17" s="19" t="s">
        <v>613</v>
      </c>
      <c r="B17" s="301">
        <v>11</v>
      </c>
      <c r="C17" s="696" t="s">
        <v>192</v>
      </c>
      <c r="D17" s="697"/>
      <c r="E17" s="698" t="s">
        <v>31</v>
      </c>
      <c r="F17" s="699"/>
      <c r="G17" s="58" t="s">
        <v>2</v>
      </c>
      <c r="H17" s="59" t="s">
        <v>2</v>
      </c>
      <c r="I17" s="114" t="s">
        <v>1</v>
      </c>
      <c r="J17" s="126" t="s">
        <v>2</v>
      </c>
      <c r="K17" s="59" t="s">
        <v>2</v>
      </c>
      <c r="L17" s="57" t="s">
        <v>21</v>
      </c>
      <c r="M17" s="59" t="s">
        <v>21</v>
      </c>
      <c r="N17" s="274" t="s">
        <v>2</v>
      </c>
      <c r="O17" s="548" t="s">
        <v>2</v>
      </c>
      <c r="P17" s="547" t="s">
        <v>2</v>
      </c>
      <c r="Q17" s="321" t="s">
        <v>2</v>
      </c>
      <c r="R17" s="321" t="s">
        <v>2</v>
      </c>
      <c r="S17" s="373" t="s">
        <v>21</v>
      </c>
      <c r="T17" s="59" t="s">
        <v>21</v>
      </c>
      <c r="U17" s="59" t="s">
        <v>2</v>
      </c>
      <c r="V17" s="40" t="s">
        <v>2</v>
      </c>
      <c r="W17" s="137" t="s">
        <v>1</v>
      </c>
      <c r="X17" s="40" t="s">
        <v>2</v>
      </c>
      <c r="Y17" s="40" t="s">
        <v>2</v>
      </c>
      <c r="Z17" s="40" t="s">
        <v>2</v>
      </c>
      <c r="AA17" s="59" t="s">
        <v>21</v>
      </c>
      <c r="AB17" s="121" t="s">
        <v>2</v>
      </c>
      <c r="AC17" s="84" t="s">
        <v>2</v>
      </c>
      <c r="AD17" s="366" t="s">
        <v>56</v>
      </c>
      <c r="AE17" s="163" t="s">
        <v>0</v>
      </c>
      <c r="AF17" s="121" t="s">
        <v>2</v>
      </c>
      <c r="AG17" s="171" t="s">
        <v>21</v>
      </c>
      <c r="AH17" s="59" t="s">
        <v>21</v>
      </c>
      <c r="AI17" s="274" t="s">
        <v>2</v>
      </c>
      <c r="AJ17" s="282" t="s">
        <v>2</v>
      </c>
      <c r="AK17" s="198"/>
      <c r="AL17" s="30">
        <f t="shared" si="0"/>
        <v>1</v>
      </c>
      <c r="AM17" s="25">
        <f t="shared" si="1"/>
        <v>19</v>
      </c>
      <c r="AN17" s="26">
        <f t="shared" si="2"/>
        <v>9</v>
      </c>
      <c r="AO17" s="29">
        <f t="shared" si="3"/>
        <v>10</v>
      </c>
      <c r="AP17" s="238" t="s">
        <v>66</v>
      </c>
      <c r="AQ17" s="689"/>
      <c r="AR17" s="689"/>
      <c r="AS17" s="653"/>
      <c r="AT17" s="653"/>
      <c r="AU17" s="156"/>
      <c r="AV17" s="157"/>
      <c r="AW17" s="157"/>
      <c r="AX17" s="218"/>
      <c r="AY17" s="157"/>
      <c r="AZ17" s="218"/>
      <c r="BA17" s="157"/>
      <c r="BB17" s="203"/>
      <c r="BC17" s="157"/>
      <c r="BD17" s="157"/>
      <c r="BE17" s="157"/>
      <c r="BF17" s="157"/>
      <c r="BG17" s="157"/>
      <c r="BH17" s="157"/>
      <c r="BI17" s="156"/>
      <c r="BJ17" s="157"/>
      <c r="BK17" s="157"/>
      <c r="BL17" s="158"/>
      <c r="BM17" s="158"/>
      <c r="BN17" s="157"/>
      <c r="BO17" s="157"/>
      <c r="BP17" s="302"/>
      <c r="BQ17" s="157"/>
      <c r="BR17" s="157"/>
      <c r="BS17" s="158"/>
      <c r="BT17" s="157"/>
      <c r="BU17" s="299"/>
      <c r="BV17" s="157"/>
      <c r="BW17" s="157"/>
      <c r="BX17" s="157"/>
      <c r="BY17" s="156"/>
      <c r="BZ17" s="159"/>
      <c r="CA17" s="161"/>
      <c r="CB17" s="160"/>
      <c r="CC17" s="160"/>
    </row>
    <row r="18" spans="1:83" ht="21.75" customHeight="1">
      <c r="A18" s="19"/>
      <c r="B18" s="301">
        <v>12</v>
      </c>
      <c r="C18" s="682" t="s">
        <v>39</v>
      </c>
      <c r="D18" s="683"/>
      <c r="E18" s="698" t="s">
        <v>31</v>
      </c>
      <c r="F18" s="699"/>
      <c r="G18" s="350" t="s">
        <v>21</v>
      </c>
      <c r="H18" s="351" t="s">
        <v>2</v>
      </c>
      <c r="I18" s="81" t="s">
        <v>2</v>
      </c>
      <c r="J18" s="81" t="s">
        <v>2</v>
      </c>
      <c r="K18" s="81" t="s">
        <v>2</v>
      </c>
      <c r="L18" s="325" t="s">
        <v>21</v>
      </c>
      <c r="M18" s="68" t="s">
        <v>21</v>
      </c>
      <c r="N18" s="42" t="s">
        <v>2</v>
      </c>
      <c r="O18" s="71" t="s">
        <v>2</v>
      </c>
      <c r="P18" s="42" t="s">
        <v>2</v>
      </c>
      <c r="Q18" s="71" t="s">
        <v>2</v>
      </c>
      <c r="R18" s="137" t="s">
        <v>1</v>
      </c>
      <c r="S18" s="42" t="s">
        <v>2</v>
      </c>
      <c r="T18" s="68" t="s">
        <v>21</v>
      </c>
      <c r="U18" s="40" t="s">
        <v>2</v>
      </c>
      <c r="V18" s="111" t="s">
        <v>0</v>
      </c>
      <c r="W18" s="59" t="s">
        <v>2</v>
      </c>
      <c r="X18" s="59" t="s">
        <v>2</v>
      </c>
      <c r="Y18" s="59" t="s">
        <v>2</v>
      </c>
      <c r="Z18" s="114" t="s">
        <v>21</v>
      </c>
      <c r="AA18" s="68" t="s">
        <v>21</v>
      </c>
      <c r="AB18" s="323" t="s">
        <v>2</v>
      </c>
      <c r="AC18" s="169" t="s">
        <v>2</v>
      </c>
      <c r="AD18" s="81" t="s">
        <v>2</v>
      </c>
      <c r="AE18" s="169" t="s">
        <v>2</v>
      </c>
      <c r="AF18" s="169" t="s">
        <v>2</v>
      </c>
      <c r="AG18" s="316" t="s">
        <v>1</v>
      </c>
      <c r="AH18" s="110" t="s">
        <v>21</v>
      </c>
      <c r="AI18" s="71" t="s">
        <v>2</v>
      </c>
      <c r="AJ18" s="71" t="s">
        <v>2</v>
      </c>
      <c r="AK18" s="65"/>
      <c r="AL18" s="30">
        <f t="shared" si="0"/>
        <v>1</v>
      </c>
      <c r="AM18" s="25">
        <f t="shared" si="1"/>
        <v>20</v>
      </c>
      <c r="AN18" s="26">
        <f t="shared" si="2"/>
        <v>9</v>
      </c>
      <c r="AO18" s="29">
        <f t="shared" si="3"/>
        <v>10</v>
      </c>
      <c r="AP18" s="238">
        <v>3</v>
      </c>
      <c r="AQ18" s="689"/>
      <c r="AR18" s="689"/>
      <c r="AS18" s="653"/>
      <c r="AT18" s="653"/>
      <c r="AU18" s="156"/>
      <c r="AV18" s="157"/>
      <c r="AW18" s="157"/>
      <c r="AX18" s="158"/>
      <c r="AY18" s="156"/>
      <c r="AZ18" s="156"/>
      <c r="BA18" s="156"/>
      <c r="BB18" s="156"/>
      <c r="BC18" s="157"/>
      <c r="BD18" s="206"/>
      <c r="BE18" s="206"/>
      <c r="BF18" s="218"/>
      <c r="BG18" s="206"/>
      <c r="BH18" s="16"/>
      <c r="BI18" s="156"/>
      <c r="BJ18" s="157"/>
      <c r="BK18" s="206"/>
      <c r="BL18" s="218"/>
      <c r="BM18" s="218"/>
      <c r="BN18" s="218"/>
      <c r="BO18" s="206"/>
      <c r="BP18" s="203"/>
      <c r="BQ18" s="157"/>
      <c r="BR18" s="206"/>
      <c r="BS18" s="218"/>
      <c r="BT18" s="218"/>
      <c r="BU18" s="306"/>
      <c r="BV18" s="218"/>
      <c r="BW18" s="203"/>
      <c r="BX18" s="157"/>
      <c r="BY18" s="157"/>
      <c r="BZ18" s="159"/>
      <c r="CA18" s="161"/>
      <c r="CB18" s="160"/>
      <c r="CC18" s="160"/>
    </row>
    <row r="19" spans="1:83" ht="22" customHeight="1">
      <c r="A19" s="19"/>
      <c r="B19" s="301">
        <v>13</v>
      </c>
      <c r="C19" s="690" t="s">
        <v>38</v>
      </c>
      <c r="D19" s="691"/>
      <c r="E19" s="686" t="s">
        <v>31</v>
      </c>
      <c r="F19" s="686"/>
      <c r="G19" s="285" t="s">
        <v>2</v>
      </c>
      <c r="H19" s="89" t="s">
        <v>2</v>
      </c>
      <c r="I19" s="111" t="s">
        <v>0</v>
      </c>
      <c r="J19" s="40" t="s">
        <v>2</v>
      </c>
      <c r="K19" s="59" t="s">
        <v>2</v>
      </c>
      <c r="L19" s="313" t="s">
        <v>2</v>
      </c>
      <c r="M19" s="89" t="s">
        <v>21</v>
      </c>
      <c r="N19" s="42" t="s">
        <v>2</v>
      </c>
      <c r="O19" s="114" t="s">
        <v>1</v>
      </c>
      <c r="P19" s="59" t="s">
        <v>2</v>
      </c>
      <c r="Q19" s="40" t="s">
        <v>2</v>
      </c>
      <c r="R19" s="59" t="s">
        <v>2</v>
      </c>
      <c r="S19" s="137" t="s">
        <v>21</v>
      </c>
      <c r="T19" s="89" t="s">
        <v>21</v>
      </c>
      <c r="U19" s="59" t="s">
        <v>2</v>
      </c>
      <c r="V19" s="40" t="s">
        <v>2</v>
      </c>
      <c r="W19" s="59" t="s">
        <v>2</v>
      </c>
      <c r="X19" s="59" t="s">
        <v>2</v>
      </c>
      <c r="Y19" s="59" t="s">
        <v>2</v>
      </c>
      <c r="Z19" s="137" t="s">
        <v>21</v>
      </c>
      <c r="AA19" s="89" t="s">
        <v>21</v>
      </c>
      <c r="AB19" s="280" t="s">
        <v>2</v>
      </c>
      <c r="AC19" s="40" t="s">
        <v>2</v>
      </c>
      <c r="AD19" s="59" t="s">
        <v>2</v>
      </c>
      <c r="AE19" s="57" t="s">
        <v>1</v>
      </c>
      <c r="AF19" s="59" t="s">
        <v>2</v>
      </c>
      <c r="AG19" s="284" t="s">
        <v>2</v>
      </c>
      <c r="AH19" s="89" t="s">
        <v>21</v>
      </c>
      <c r="AI19" s="114" t="s">
        <v>21</v>
      </c>
      <c r="AJ19" s="40" t="s">
        <v>2</v>
      </c>
      <c r="AK19" s="147"/>
      <c r="AL19" s="30">
        <f t="shared" si="0"/>
        <v>1</v>
      </c>
      <c r="AM19" s="25">
        <f t="shared" si="1"/>
        <v>20</v>
      </c>
      <c r="AN19" s="26">
        <f t="shared" si="2"/>
        <v>9</v>
      </c>
      <c r="AO19" s="29">
        <f t="shared" si="3"/>
        <v>10</v>
      </c>
      <c r="AP19" s="238">
        <v>3</v>
      </c>
      <c r="AQ19" s="303"/>
      <c r="AR19" s="692"/>
      <c r="AS19" s="692"/>
      <c r="AT19" s="693"/>
      <c r="AU19" s="693"/>
      <c r="AV19" s="158"/>
      <c r="AW19" s="157"/>
      <c r="AX19" s="157"/>
      <c r="AY19" s="158"/>
      <c r="AZ19" s="157"/>
      <c r="BA19" s="157"/>
      <c r="BB19" s="157"/>
      <c r="BC19" s="157"/>
      <c r="BD19" s="157"/>
      <c r="BE19" s="157"/>
      <c r="BF19" s="158"/>
      <c r="BG19" s="157"/>
      <c r="BH19" s="158"/>
      <c r="BI19" s="158"/>
      <c r="BJ19" s="158"/>
      <c r="BK19" s="157"/>
      <c r="BL19" s="158"/>
      <c r="BM19" s="157"/>
      <c r="BN19" s="157"/>
      <c r="BO19" s="304"/>
      <c r="BP19" s="157"/>
      <c r="BQ19" s="157"/>
      <c r="BR19" s="157"/>
      <c r="BS19" s="157"/>
      <c r="BT19" s="158"/>
      <c r="BU19" s="157"/>
      <c r="BV19" s="299"/>
      <c r="BW19" s="157"/>
      <c r="BX19" s="158"/>
      <c r="BY19" s="157"/>
      <c r="BZ19" s="158"/>
      <c r="CA19" s="305"/>
      <c r="CB19" s="161"/>
      <c r="CC19" s="161"/>
      <c r="CD19" s="161"/>
    </row>
    <row r="20" spans="1:83" ht="22" customHeight="1" thickBot="1">
      <c r="A20" s="19"/>
      <c r="B20" s="301">
        <v>14</v>
      </c>
      <c r="C20" s="684" t="s">
        <v>200</v>
      </c>
      <c r="D20" s="685"/>
      <c r="E20" s="694" t="s">
        <v>31</v>
      </c>
      <c r="F20" s="695"/>
      <c r="G20" s="274" t="s">
        <v>2</v>
      </c>
      <c r="H20" s="551" t="s">
        <v>2</v>
      </c>
      <c r="I20" s="275" t="s">
        <v>2</v>
      </c>
      <c r="J20" s="275" t="s">
        <v>2</v>
      </c>
      <c r="K20" s="321" t="s">
        <v>2</v>
      </c>
      <c r="L20" s="288" t="s">
        <v>21</v>
      </c>
      <c r="M20" s="89" t="s">
        <v>21</v>
      </c>
      <c r="N20" s="59" t="s">
        <v>2</v>
      </c>
      <c r="O20" s="44" t="s">
        <v>2</v>
      </c>
      <c r="P20" s="172" t="s">
        <v>21</v>
      </c>
      <c r="Q20" s="59" t="s">
        <v>2</v>
      </c>
      <c r="R20" s="59" t="s">
        <v>2</v>
      </c>
      <c r="S20" s="114" t="s">
        <v>21</v>
      </c>
      <c r="T20" s="89" t="s">
        <v>21</v>
      </c>
      <c r="U20" s="44" t="s">
        <v>2</v>
      </c>
      <c r="V20" s="44" t="s">
        <v>2</v>
      </c>
      <c r="W20" s="111" t="s">
        <v>40</v>
      </c>
      <c r="X20" s="121" t="s">
        <v>2</v>
      </c>
      <c r="Y20" s="121" t="s">
        <v>2</v>
      </c>
      <c r="Z20" s="44" t="s">
        <v>2</v>
      </c>
      <c r="AA20" s="89" t="s">
        <v>21</v>
      </c>
      <c r="AB20" s="274" t="s">
        <v>2</v>
      </c>
      <c r="AC20" s="334" t="s">
        <v>21</v>
      </c>
      <c r="AD20" s="275" t="s">
        <v>2</v>
      </c>
      <c r="AE20" s="275" t="s">
        <v>2</v>
      </c>
      <c r="AF20" s="275" t="s">
        <v>2</v>
      </c>
      <c r="AG20" s="373" t="s">
        <v>21</v>
      </c>
      <c r="AH20" s="89" t="s">
        <v>21</v>
      </c>
      <c r="AI20" s="59" t="s">
        <v>2</v>
      </c>
      <c r="AJ20" s="40" t="s">
        <v>2</v>
      </c>
      <c r="AK20" s="147"/>
      <c r="AL20" s="30">
        <f t="shared" si="0"/>
        <v>1</v>
      </c>
      <c r="AM20" s="25">
        <f t="shared" si="1"/>
        <v>20</v>
      </c>
      <c r="AN20" s="26">
        <f t="shared" si="2"/>
        <v>9</v>
      </c>
      <c r="AO20" s="29">
        <f t="shared" si="3"/>
        <v>10</v>
      </c>
      <c r="AP20" s="10">
        <v>3</v>
      </c>
      <c r="AQ20" s="689"/>
      <c r="AR20" s="689"/>
      <c r="AS20" s="653"/>
      <c r="AT20" s="653"/>
      <c r="AU20" s="304"/>
      <c r="AV20" s="158"/>
      <c r="AW20" s="158"/>
      <c r="AX20" s="158"/>
      <c r="AY20" s="157"/>
      <c r="AZ20" s="157"/>
      <c r="BA20" s="158"/>
      <c r="BB20" s="156"/>
      <c r="BC20" s="158"/>
      <c r="BD20" s="158"/>
      <c r="BE20" s="489"/>
      <c r="BF20" s="157"/>
      <c r="BG20" s="156"/>
      <c r="BH20" s="158"/>
      <c r="BI20" s="158"/>
      <c r="BJ20" s="489"/>
      <c r="BK20" s="157"/>
      <c r="BL20" s="158"/>
      <c r="BM20" s="157"/>
      <c r="BN20" s="158"/>
      <c r="BO20" s="158"/>
      <c r="BP20" s="203"/>
      <c r="BQ20" s="158"/>
      <c r="BR20" s="304"/>
      <c r="BS20" s="304"/>
      <c r="BT20" s="157"/>
      <c r="BU20" s="156"/>
      <c r="BV20" s="158"/>
      <c r="BW20" s="156"/>
      <c r="BX20" s="158"/>
      <c r="BY20" s="158"/>
      <c r="BZ20" s="159"/>
      <c r="CA20" s="161"/>
      <c r="CB20" s="160"/>
      <c r="CC20" s="160"/>
    </row>
    <row r="21" spans="1:83" ht="22" customHeight="1">
      <c r="A21" s="19">
        <v>5</v>
      </c>
      <c r="B21" s="301">
        <v>15</v>
      </c>
      <c r="C21" s="684" t="s">
        <v>26</v>
      </c>
      <c r="D21" s="685"/>
      <c r="E21" s="686" t="s">
        <v>31</v>
      </c>
      <c r="F21" s="686"/>
      <c r="G21" s="58" t="s">
        <v>2</v>
      </c>
      <c r="H21" s="59" t="s">
        <v>2</v>
      </c>
      <c r="I21" s="114" t="s">
        <v>21</v>
      </c>
      <c r="J21" s="59" t="s">
        <v>2</v>
      </c>
      <c r="K21" s="59" t="s">
        <v>2</v>
      </c>
      <c r="L21" s="114" t="s">
        <v>21</v>
      </c>
      <c r="M21" s="47" t="s">
        <v>1</v>
      </c>
      <c r="N21" s="59" t="s">
        <v>2</v>
      </c>
      <c r="O21" s="222" t="s">
        <v>19</v>
      </c>
      <c r="P21" s="222" t="s">
        <v>19</v>
      </c>
      <c r="Q21" s="59" t="s">
        <v>2</v>
      </c>
      <c r="R21" s="59" t="s">
        <v>2</v>
      </c>
      <c r="S21" s="114" t="s">
        <v>21</v>
      </c>
      <c r="T21" s="47" t="s">
        <v>1</v>
      </c>
      <c r="U21" s="270" t="s">
        <v>2</v>
      </c>
      <c r="V21" s="169" t="s">
        <v>2</v>
      </c>
      <c r="W21" s="169" t="s">
        <v>2</v>
      </c>
      <c r="X21" s="319" t="s">
        <v>21</v>
      </c>
      <c r="Y21" s="81" t="s">
        <v>2</v>
      </c>
      <c r="Z21" s="271" t="s">
        <v>2</v>
      </c>
      <c r="AA21" s="47" t="s">
        <v>1</v>
      </c>
      <c r="AB21" s="42" t="s">
        <v>2</v>
      </c>
      <c r="AC21" s="111" t="s">
        <v>0</v>
      </c>
      <c r="AD21" s="71" t="s">
        <v>2</v>
      </c>
      <c r="AE21" s="71" t="s">
        <v>2</v>
      </c>
      <c r="AF21" s="319" t="s">
        <v>21</v>
      </c>
      <c r="AG21" s="42" t="s">
        <v>2</v>
      </c>
      <c r="AH21" s="47" t="s">
        <v>1</v>
      </c>
      <c r="AI21" s="111" t="s">
        <v>40</v>
      </c>
      <c r="AJ21" s="40" t="s">
        <v>2</v>
      </c>
      <c r="AK21" s="147"/>
      <c r="AL21" s="30">
        <f t="shared" si="0"/>
        <v>2</v>
      </c>
      <c r="AM21" s="25">
        <f t="shared" si="1"/>
        <v>17</v>
      </c>
      <c r="AN21" s="26">
        <f t="shared" si="2"/>
        <v>9</v>
      </c>
      <c r="AO21" s="29">
        <f t="shared" si="3"/>
        <v>11</v>
      </c>
      <c r="AP21" s="10">
        <v>4</v>
      </c>
      <c r="AQ21" s="652"/>
      <c r="AR21" s="652"/>
      <c r="AS21" s="653"/>
      <c r="AT21" s="653"/>
      <c r="AU21" s="203"/>
      <c r="AV21" s="158"/>
      <c r="AW21" s="157"/>
      <c r="AX21" s="158"/>
      <c r="AY21" s="158"/>
      <c r="AZ21" s="157"/>
      <c r="BA21" s="157"/>
      <c r="BB21" s="203"/>
      <c r="BC21" s="158"/>
      <c r="BD21" s="157"/>
      <c r="BE21" s="156"/>
      <c r="BF21" s="158"/>
      <c r="BG21" s="158"/>
      <c r="BH21" s="157"/>
      <c r="BI21" s="158"/>
      <c r="BJ21" s="158"/>
      <c r="BK21" s="158"/>
      <c r="BL21" s="158"/>
      <c r="BM21" s="158"/>
      <c r="BN21" s="158"/>
      <c r="BO21" s="158"/>
      <c r="BP21" s="203"/>
      <c r="BQ21" s="158"/>
      <c r="BR21" s="157"/>
      <c r="BS21" s="158"/>
      <c r="BT21" s="158"/>
      <c r="BU21" s="158"/>
      <c r="BV21" s="156"/>
      <c r="BW21" s="158"/>
      <c r="BX21" s="158"/>
      <c r="BY21" s="156"/>
      <c r="BZ21" s="159"/>
      <c r="CA21" s="161"/>
      <c r="CB21" s="160"/>
      <c r="CC21" s="160"/>
    </row>
    <row r="22" spans="1:83" ht="22" customHeight="1">
      <c r="A22" s="19">
        <v>6</v>
      </c>
      <c r="B22" s="301">
        <v>16</v>
      </c>
      <c r="C22" s="687" t="s">
        <v>45</v>
      </c>
      <c r="D22" s="688"/>
      <c r="E22" s="686" t="s">
        <v>31</v>
      </c>
      <c r="F22" s="686"/>
      <c r="G22" s="70" t="s">
        <v>2</v>
      </c>
      <c r="H22" s="59" t="s">
        <v>2</v>
      </c>
      <c r="I22" s="40" t="s">
        <v>2</v>
      </c>
      <c r="J22" s="40" t="s">
        <v>2</v>
      </c>
      <c r="K22" s="40" t="s">
        <v>2</v>
      </c>
      <c r="L22" s="114" t="s">
        <v>1</v>
      </c>
      <c r="M22" s="64" t="s">
        <v>21</v>
      </c>
      <c r="N22" s="40" t="s">
        <v>2</v>
      </c>
      <c r="O22" s="222" t="s">
        <v>19</v>
      </c>
      <c r="P22" s="222" t="s">
        <v>19</v>
      </c>
      <c r="Q22" s="64" t="s">
        <v>2</v>
      </c>
      <c r="R22" s="40" t="s">
        <v>2</v>
      </c>
      <c r="S22" s="172" t="s">
        <v>21</v>
      </c>
      <c r="T22" s="110" t="s">
        <v>21</v>
      </c>
      <c r="U22" s="320" t="s">
        <v>1</v>
      </c>
      <c r="V22" s="40" t="s">
        <v>2</v>
      </c>
      <c r="W22" s="40" t="s">
        <v>2</v>
      </c>
      <c r="X22" s="59" t="s">
        <v>2</v>
      </c>
      <c r="Y22" s="40" t="s">
        <v>2</v>
      </c>
      <c r="Z22" s="272" t="s">
        <v>21</v>
      </c>
      <c r="AA22" s="64" t="s">
        <v>21</v>
      </c>
      <c r="AB22" s="40" t="s">
        <v>2</v>
      </c>
      <c r="AC22" s="59" t="s">
        <v>2</v>
      </c>
      <c r="AD22" s="172" t="s">
        <v>21</v>
      </c>
      <c r="AE22" s="111" t="s">
        <v>40</v>
      </c>
      <c r="AF22" s="40" t="s">
        <v>2</v>
      </c>
      <c r="AG22" s="40" t="s">
        <v>2</v>
      </c>
      <c r="AH22" s="64" t="s">
        <v>21</v>
      </c>
      <c r="AI22" s="40" t="s">
        <v>2</v>
      </c>
      <c r="AJ22" s="40" t="s">
        <v>2</v>
      </c>
      <c r="AK22" s="65"/>
      <c r="AL22" s="30">
        <f t="shared" si="0"/>
        <v>1</v>
      </c>
      <c r="AM22" s="25">
        <f t="shared" si="1"/>
        <v>18</v>
      </c>
      <c r="AN22" s="26">
        <f t="shared" si="2"/>
        <v>9</v>
      </c>
      <c r="AO22" s="29">
        <f t="shared" si="3"/>
        <v>10</v>
      </c>
      <c r="AP22" s="10">
        <v>4</v>
      </c>
      <c r="AQ22" s="689"/>
      <c r="AR22" s="689"/>
      <c r="AS22" s="653"/>
      <c r="AT22" s="653"/>
      <c r="AU22" s="304"/>
      <c r="AV22" s="158"/>
      <c r="AW22" s="158"/>
      <c r="AX22" s="158"/>
      <c r="AY22" s="157"/>
      <c r="AZ22" s="157"/>
      <c r="BA22" s="158"/>
      <c r="BB22" s="156"/>
      <c r="BC22" s="158"/>
      <c r="BD22" s="158"/>
      <c r="BE22" s="489"/>
      <c r="BF22" s="157"/>
      <c r="BG22" s="156"/>
      <c r="BH22" s="158"/>
      <c r="BI22" s="158"/>
      <c r="BJ22" s="489"/>
      <c r="BK22" s="157"/>
      <c r="BL22" s="158"/>
      <c r="BM22" s="157"/>
      <c r="BN22" s="158"/>
      <c r="BO22" s="158"/>
      <c r="BP22" s="203"/>
      <c r="BQ22" s="158"/>
      <c r="BR22" s="304"/>
      <c r="BS22" s="304"/>
      <c r="BT22" s="157"/>
      <c r="BU22" s="156"/>
      <c r="BV22" s="158"/>
      <c r="BW22" s="156"/>
      <c r="BX22" s="158"/>
      <c r="BY22" s="189"/>
    </row>
    <row r="23" spans="1:83" ht="22" customHeight="1">
      <c r="A23" s="19"/>
      <c r="B23" s="301">
        <v>17</v>
      </c>
      <c r="C23" s="682" t="s">
        <v>95</v>
      </c>
      <c r="D23" s="683"/>
      <c r="E23" s="673" t="s">
        <v>31</v>
      </c>
      <c r="F23" s="674"/>
      <c r="G23" s="58" t="s">
        <v>2</v>
      </c>
      <c r="H23" s="111" t="s">
        <v>40</v>
      </c>
      <c r="I23" s="59" t="s">
        <v>2</v>
      </c>
      <c r="J23" s="126" t="s">
        <v>2</v>
      </c>
      <c r="K23" s="59" t="s">
        <v>2</v>
      </c>
      <c r="L23" s="114" t="s">
        <v>21</v>
      </c>
      <c r="M23" s="47" t="s">
        <v>21</v>
      </c>
      <c r="N23" s="59" t="s">
        <v>2</v>
      </c>
      <c r="O23" s="42" t="s">
        <v>2</v>
      </c>
      <c r="P23" s="71" t="s">
        <v>2</v>
      </c>
      <c r="Q23" s="40" t="s">
        <v>2</v>
      </c>
      <c r="R23" s="114" t="s">
        <v>21</v>
      </c>
      <c r="S23" s="59" t="s">
        <v>2</v>
      </c>
      <c r="T23" s="47" t="s">
        <v>21</v>
      </c>
      <c r="U23" s="280" t="s">
        <v>2</v>
      </c>
      <c r="V23" s="40" t="s">
        <v>2</v>
      </c>
      <c r="W23" s="59" t="s">
        <v>2</v>
      </c>
      <c r="X23" s="40" t="s">
        <v>2</v>
      </c>
      <c r="Y23" s="59" t="s">
        <v>2</v>
      </c>
      <c r="Z23" s="382" t="s">
        <v>21</v>
      </c>
      <c r="AA23" s="47" t="s">
        <v>21</v>
      </c>
      <c r="AB23" s="172" t="s">
        <v>21</v>
      </c>
      <c r="AC23" s="59" t="s">
        <v>2</v>
      </c>
      <c r="AD23" s="59" t="s">
        <v>2</v>
      </c>
      <c r="AE23" s="40" t="s">
        <v>2</v>
      </c>
      <c r="AF23" s="40" t="s">
        <v>2</v>
      </c>
      <c r="AG23" s="57" t="s">
        <v>21</v>
      </c>
      <c r="AH23" s="47" t="s">
        <v>21</v>
      </c>
      <c r="AI23" s="59" t="s">
        <v>2</v>
      </c>
      <c r="AJ23" s="59" t="s">
        <v>2</v>
      </c>
      <c r="AK23" s="147"/>
      <c r="AL23" s="30">
        <f t="shared" si="0"/>
        <v>1</v>
      </c>
      <c r="AM23" s="25">
        <f t="shared" si="1"/>
        <v>20</v>
      </c>
      <c r="AN23" s="26">
        <f t="shared" si="2"/>
        <v>9</v>
      </c>
      <c r="AO23" s="29">
        <f t="shared" si="3"/>
        <v>10</v>
      </c>
      <c r="AP23" s="238" t="s">
        <v>618</v>
      </c>
      <c r="AR23" s="96"/>
      <c r="AS23" s="96"/>
    </row>
    <row r="24" spans="1:83" ht="22" customHeight="1" thickBot="1">
      <c r="A24" s="19"/>
      <c r="B24" s="54">
        <v>18</v>
      </c>
      <c r="C24" s="675" t="s">
        <v>48</v>
      </c>
      <c r="D24" s="676"/>
      <c r="E24" s="677" t="s">
        <v>31</v>
      </c>
      <c r="F24" s="677"/>
      <c r="G24" s="142" t="s">
        <v>2</v>
      </c>
      <c r="H24" s="93" t="s">
        <v>2</v>
      </c>
      <c r="I24" s="178" t="s">
        <v>1</v>
      </c>
      <c r="J24" s="178" t="s">
        <v>1</v>
      </c>
      <c r="K24" s="43" t="s">
        <v>2</v>
      </c>
      <c r="L24" s="93" t="s">
        <v>2</v>
      </c>
      <c r="M24" s="102" t="s">
        <v>1</v>
      </c>
      <c r="N24" s="43" t="s">
        <v>2</v>
      </c>
      <c r="O24" s="43" t="s">
        <v>2</v>
      </c>
      <c r="P24" s="43" t="s">
        <v>2</v>
      </c>
      <c r="Q24" s="114" t="s">
        <v>21</v>
      </c>
      <c r="R24" s="43" t="s">
        <v>2</v>
      </c>
      <c r="S24" s="43" t="s">
        <v>2</v>
      </c>
      <c r="T24" s="102" t="s">
        <v>1</v>
      </c>
      <c r="U24" s="341" t="s">
        <v>2</v>
      </c>
      <c r="V24" s="321" t="s">
        <v>2</v>
      </c>
      <c r="W24" s="277" t="s">
        <v>0</v>
      </c>
      <c r="X24" s="321" t="s">
        <v>2</v>
      </c>
      <c r="Y24" s="321" t="s">
        <v>2</v>
      </c>
      <c r="Z24" s="288" t="s">
        <v>21</v>
      </c>
      <c r="AA24" s="102" t="s">
        <v>1</v>
      </c>
      <c r="AB24" s="43" t="s">
        <v>2</v>
      </c>
      <c r="AC24" s="43" t="s">
        <v>2</v>
      </c>
      <c r="AD24" s="43" t="s">
        <v>2</v>
      </c>
      <c r="AE24" s="43" t="s">
        <v>2</v>
      </c>
      <c r="AF24" s="43" t="s">
        <v>2</v>
      </c>
      <c r="AG24" s="550" t="s">
        <v>21</v>
      </c>
      <c r="AH24" s="102" t="s">
        <v>1</v>
      </c>
      <c r="AI24" s="93" t="s">
        <v>2</v>
      </c>
      <c r="AJ24" s="93" t="s">
        <v>2</v>
      </c>
      <c r="AK24" s="132"/>
      <c r="AL24" s="221">
        <f t="shared" si="0"/>
        <v>1</v>
      </c>
      <c r="AM24" s="260">
        <f t="shared" si="1"/>
        <v>20</v>
      </c>
      <c r="AN24" s="32">
        <f t="shared" si="2"/>
        <v>9</v>
      </c>
      <c r="AO24" s="29">
        <f t="shared" si="3"/>
        <v>10</v>
      </c>
      <c r="AP24" s="10">
        <v>4</v>
      </c>
      <c r="AR24" s="300"/>
      <c r="AS24" s="652"/>
      <c r="AT24" s="652"/>
      <c r="AU24" s="653"/>
      <c r="AV24" s="653"/>
      <c r="AW24" s="203"/>
      <c r="AX24" s="157"/>
      <c r="AY24" s="157"/>
      <c r="AZ24" s="298"/>
      <c r="BA24" s="157"/>
      <c r="BB24" s="156"/>
      <c r="BC24" s="157"/>
      <c r="BD24" s="157"/>
      <c r="BE24" s="157"/>
      <c r="BF24" s="204"/>
      <c r="BG24" s="157"/>
      <c r="BH24" s="157"/>
      <c r="BI24" s="298"/>
      <c r="BJ24" s="157"/>
      <c r="BK24" s="157"/>
      <c r="BL24" s="157"/>
      <c r="BM24" s="204"/>
      <c r="BN24" s="156"/>
      <c r="BO24" s="157"/>
      <c r="BP24" s="157"/>
      <c r="BQ24" s="157"/>
      <c r="BR24" s="203"/>
      <c r="BS24" s="157"/>
      <c r="BT24" s="157"/>
      <c r="BU24" s="158"/>
      <c r="BV24" s="157"/>
      <c r="BW24" s="299"/>
      <c r="BX24" s="157"/>
      <c r="BY24" s="157"/>
      <c r="BZ24" s="157"/>
      <c r="CA24" s="157"/>
      <c r="CB24" s="159"/>
      <c r="CC24" s="161"/>
      <c r="CD24" s="160"/>
      <c r="CE24" s="160"/>
    </row>
    <row r="25" spans="1:83" ht="22" customHeight="1">
      <c r="A25" s="19"/>
      <c r="B25" s="416">
        <v>19</v>
      </c>
      <c r="C25" s="678" t="s">
        <v>197</v>
      </c>
      <c r="D25" s="679"/>
      <c r="E25" s="680" t="s">
        <v>94</v>
      </c>
      <c r="F25" s="681"/>
      <c r="G25" s="348" t="s">
        <v>2</v>
      </c>
      <c r="H25" s="49" t="s">
        <v>2</v>
      </c>
      <c r="I25" s="50" t="s">
        <v>21</v>
      </c>
      <c r="J25" s="291" t="s">
        <v>2</v>
      </c>
      <c r="K25" s="290" t="s">
        <v>2</v>
      </c>
      <c r="L25" s="50" t="s">
        <v>1</v>
      </c>
      <c r="M25" s="290" t="s">
        <v>21</v>
      </c>
      <c r="N25" s="332" t="s">
        <v>2</v>
      </c>
      <c r="O25" s="291" t="s">
        <v>2</v>
      </c>
      <c r="P25" s="290" t="s">
        <v>2</v>
      </c>
      <c r="Q25" s="291" t="s">
        <v>2</v>
      </c>
      <c r="R25" s="290" t="s">
        <v>2</v>
      </c>
      <c r="S25" s="50" t="s">
        <v>21</v>
      </c>
      <c r="T25" s="290" t="s">
        <v>21</v>
      </c>
      <c r="U25" s="290" t="s">
        <v>2</v>
      </c>
      <c r="V25" s="493" t="s">
        <v>40</v>
      </c>
      <c r="W25" s="290" t="s">
        <v>2</v>
      </c>
      <c r="X25" s="291" t="s">
        <v>2</v>
      </c>
      <c r="Y25" s="290" t="s">
        <v>2</v>
      </c>
      <c r="Z25" s="50" t="s">
        <v>21</v>
      </c>
      <c r="AA25" s="290" t="s">
        <v>21</v>
      </c>
      <c r="AB25" s="290" t="s">
        <v>2</v>
      </c>
      <c r="AC25" s="494" t="s">
        <v>2</v>
      </c>
      <c r="AD25" s="290" t="s">
        <v>2</v>
      </c>
      <c r="AE25" s="291" t="s">
        <v>2</v>
      </c>
      <c r="AF25" s="493" t="s">
        <v>40</v>
      </c>
      <c r="AG25" s="50" t="s">
        <v>21</v>
      </c>
      <c r="AH25" s="290" t="s">
        <v>21</v>
      </c>
      <c r="AI25" s="49" t="s">
        <v>2</v>
      </c>
      <c r="AJ25" s="94" t="s">
        <v>2</v>
      </c>
      <c r="AK25" s="115"/>
      <c r="AL25" s="532">
        <f t="shared" si="0"/>
        <v>2</v>
      </c>
      <c r="AM25" s="533">
        <f t="shared" si="1"/>
        <v>19</v>
      </c>
      <c r="AN25" s="534">
        <f t="shared" si="2"/>
        <v>9</v>
      </c>
      <c r="AO25" s="535">
        <f t="shared" si="3"/>
        <v>11</v>
      </c>
      <c r="AP25" s="10"/>
      <c r="AR25" s="652"/>
      <c r="AS25" s="652"/>
      <c r="AT25" s="653"/>
      <c r="AU25" s="653"/>
      <c r="AV25" s="203"/>
      <c r="AW25" s="157"/>
      <c r="AX25" s="157"/>
      <c r="AY25" s="298"/>
      <c r="AZ25" s="157"/>
      <c r="BA25" s="156"/>
      <c r="BB25" s="157"/>
      <c r="BC25" s="203"/>
      <c r="BD25" s="157"/>
      <c r="BE25" s="204"/>
      <c r="BF25" s="298"/>
      <c r="BG25" s="157"/>
      <c r="BH25" s="158"/>
      <c r="BI25" s="157"/>
      <c r="BJ25" s="298"/>
      <c r="BK25" s="157"/>
      <c r="BL25" s="204"/>
      <c r="BM25" s="156"/>
      <c r="BN25" s="157"/>
      <c r="BO25" s="298"/>
      <c r="BP25" s="157"/>
      <c r="BQ25" s="156"/>
      <c r="BR25" s="157"/>
      <c r="BS25" s="157"/>
      <c r="BT25" s="156"/>
      <c r="BU25" s="157"/>
      <c r="BV25" s="299"/>
      <c r="BW25" s="157"/>
      <c r="BX25" s="203"/>
      <c r="BY25" s="157"/>
      <c r="BZ25" s="157"/>
      <c r="CA25" s="159"/>
      <c r="CB25" s="161"/>
      <c r="CC25" s="160"/>
      <c r="CD25" s="160"/>
    </row>
    <row r="26" spans="1:83" ht="22.5" customHeight="1">
      <c r="A26" s="659"/>
      <c r="B26" s="660" t="s">
        <v>3</v>
      </c>
      <c r="C26" s="661"/>
      <c r="D26" s="661"/>
      <c r="E26" s="662"/>
      <c r="F26" s="552" t="s">
        <v>2</v>
      </c>
      <c r="G26" s="512">
        <f>COUNTIF(G6:G23,"D")</f>
        <v>14</v>
      </c>
      <c r="H26" s="386">
        <f t="shared" ref="H26:AH26" si="4">COUNTIF(H6:H24,"D")</f>
        <v>16</v>
      </c>
      <c r="I26" s="386">
        <f t="shared" si="4"/>
        <v>10</v>
      </c>
      <c r="J26" s="386">
        <f t="shared" si="4"/>
        <v>15</v>
      </c>
      <c r="K26" s="386">
        <f t="shared" si="4"/>
        <v>16</v>
      </c>
      <c r="L26" s="386">
        <f t="shared" si="4"/>
        <v>8</v>
      </c>
      <c r="M26" s="386">
        <f t="shared" si="4"/>
        <v>0</v>
      </c>
      <c r="N26" s="386">
        <f t="shared" si="4"/>
        <v>17</v>
      </c>
      <c r="O26" s="386">
        <f t="shared" si="4"/>
        <v>14</v>
      </c>
      <c r="P26" s="386">
        <f t="shared" si="4"/>
        <v>14</v>
      </c>
      <c r="Q26" s="386">
        <f t="shared" si="4"/>
        <v>16</v>
      </c>
      <c r="R26" s="386">
        <f t="shared" si="4"/>
        <v>13</v>
      </c>
      <c r="S26" s="386">
        <f t="shared" si="4"/>
        <v>7</v>
      </c>
      <c r="T26" s="386">
        <f t="shared" si="4"/>
        <v>0</v>
      </c>
      <c r="U26" s="386">
        <f t="shared" si="4"/>
        <v>15</v>
      </c>
      <c r="V26" s="386">
        <f t="shared" si="4"/>
        <v>17</v>
      </c>
      <c r="W26" s="386">
        <f t="shared" si="4"/>
        <v>13</v>
      </c>
      <c r="X26" s="386">
        <f t="shared" si="4"/>
        <v>14</v>
      </c>
      <c r="Y26" s="386">
        <f t="shared" si="4"/>
        <v>15</v>
      </c>
      <c r="Z26" s="386">
        <f t="shared" si="4"/>
        <v>7</v>
      </c>
      <c r="AA26" s="386">
        <f t="shared" si="4"/>
        <v>0</v>
      </c>
      <c r="AB26" s="386">
        <f t="shared" si="4"/>
        <v>14</v>
      </c>
      <c r="AC26" s="386">
        <f t="shared" si="4"/>
        <v>14</v>
      </c>
      <c r="AD26" s="386">
        <f t="shared" si="4"/>
        <v>14</v>
      </c>
      <c r="AE26" s="386">
        <f t="shared" si="4"/>
        <v>15</v>
      </c>
      <c r="AF26" s="386">
        <f t="shared" si="4"/>
        <v>15</v>
      </c>
      <c r="AG26" s="386">
        <f t="shared" si="4"/>
        <v>6</v>
      </c>
      <c r="AH26" s="549">
        <f t="shared" si="4"/>
        <v>0</v>
      </c>
      <c r="AI26" s="108">
        <f>COUNTIF(AI6:AI23,"D")</f>
        <v>14</v>
      </c>
      <c r="AJ26" s="211">
        <f>COUNTIF(AJ6:AJ23,"D")</f>
        <v>17</v>
      </c>
      <c r="AK26" s="4">
        <f>COUNTIF(AK6:AK23,"D")</f>
        <v>0</v>
      </c>
      <c r="AL26" s="307">
        <f t="shared" si="0"/>
        <v>0</v>
      </c>
      <c r="AM26" s="293">
        <f t="shared" si="1"/>
        <v>0</v>
      </c>
      <c r="AN26" s="294">
        <f t="shared" si="2"/>
        <v>0</v>
      </c>
      <c r="AO26" s="295">
        <f t="shared" si="3"/>
        <v>0</v>
      </c>
      <c r="AP26" s="10"/>
    </row>
    <row r="27" spans="1:83" ht="22.5" customHeight="1">
      <c r="A27" s="659"/>
      <c r="B27" s="663" t="s">
        <v>4</v>
      </c>
      <c r="C27" s="664"/>
      <c r="D27" s="664"/>
      <c r="E27" s="665"/>
      <c r="F27" s="2" t="s">
        <v>1</v>
      </c>
      <c r="G27" s="14">
        <f t="shared" ref="G27:AK27" si="5">COUNTIF(G6:G25,"●")</f>
        <v>3</v>
      </c>
      <c r="H27" s="14">
        <f t="shared" si="5"/>
        <v>0</v>
      </c>
      <c r="I27" s="14">
        <f t="shared" si="5"/>
        <v>8</v>
      </c>
      <c r="J27" s="14">
        <f t="shared" si="5"/>
        <v>3</v>
      </c>
      <c r="K27" s="14">
        <f t="shared" si="5"/>
        <v>2</v>
      </c>
      <c r="L27" s="14">
        <f t="shared" si="5"/>
        <v>11</v>
      </c>
      <c r="M27" s="14">
        <f t="shared" si="5"/>
        <v>20</v>
      </c>
      <c r="N27" s="14">
        <f t="shared" si="5"/>
        <v>1</v>
      </c>
      <c r="O27" s="14">
        <f t="shared" si="5"/>
        <v>2</v>
      </c>
      <c r="P27" s="14">
        <f t="shared" si="5"/>
        <v>2</v>
      </c>
      <c r="Q27" s="14">
        <f t="shared" si="5"/>
        <v>2</v>
      </c>
      <c r="R27" s="14">
        <f t="shared" si="5"/>
        <v>4</v>
      </c>
      <c r="S27" s="14">
        <f t="shared" si="5"/>
        <v>12</v>
      </c>
      <c r="T27" s="14">
        <f t="shared" si="5"/>
        <v>20</v>
      </c>
      <c r="U27" s="14">
        <f t="shared" si="5"/>
        <v>2</v>
      </c>
      <c r="V27" s="14">
        <f t="shared" si="5"/>
        <v>0</v>
      </c>
      <c r="W27" s="14">
        <f t="shared" si="5"/>
        <v>3</v>
      </c>
      <c r="X27" s="14">
        <f t="shared" si="5"/>
        <v>4</v>
      </c>
      <c r="Y27" s="14">
        <f t="shared" si="5"/>
        <v>3</v>
      </c>
      <c r="Z27" s="14">
        <f t="shared" si="5"/>
        <v>12</v>
      </c>
      <c r="AA27" s="14">
        <f t="shared" si="5"/>
        <v>20</v>
      </c>
      <c r="AB27" s="14">
        <f t="shared" si="5"/>
        <v>1</v>
      </c>
      <c r="AC27" s="14">
        <f t="shared" si="5"/>
        <v>1</v>
      </c>
      <c r="AD27" s="14">
        <f t="shared" si="5"/>
        <v>1</v>
      </c>
      <c r="AE27" s="14">
        <f t="shared" si="5"/>
        <v>1</v>
      </c>
      <c r="AF27" s="14">
        <f t="shared" si="5"/>
        <v>2</v>
      </c>
      <c r="AG27" s="14">
        <f t="shared" si="5"/>
        <v>13</v>
      </c>
      <c r="AH27" s="14">
        <f t="shared" si="5"/>
        <v>20</v>
      </c>
      <c r="AI27" s="14">
        <f t="shared" si="5"/>
        <v>2</v>
      </c>
      <c r="AJ27" s="14">
        <f t="shared" si="5"/>
        <v>0</v>
      </c>
      <c r="AK27" s="14">
        <f t="shared" si="5"/>
        <v>0</v>
      </c>
      <c r="AL27" s="666" t="s">
        <v>174</v>
      </c>
      <c r="AM27" s="667"/>
      <c r="AN27" s="667"/>
      <c r="AO27" s="668"/>
      <c r="AP27" s="10"/>
    </row>
    <row r="28" spans="1:83" ht="22.5" customHeight="1" thickBot="1">
      <c r="A28" s="669"/>
      <c r="B28" s="670" t="s">
        <v>5</v>
      </c>
      <c r="C28" s="671"/>
      <c r="D28" s="671"/>
      <c r="E28" s="672"/>
      <c r="F28" s="3" t="s">
        <v>0</v>
      </c>
      <c r="G28" s="14">
        <f t="shared" ref="G28:AK28" si="6">COUNTIF(G6:G25,"▲")</f>
        <v>0</v>
      </c>
      <c r="H28" s="14">
        <f t="shared" si="6"/>
        <v>2</v>
      </c>
      <c r="I28" s="14">
        <f t="shared" si="6"/>
        <v>1</v>
      </c>
      <c r="J28" s="14">
        <f t="shared" si="6"/>
        <v>0</v>
      </c>
      <c r="K28" s="14">
        <f t="shared" si="6"/>
        <v>0</v>
      </c>
      <c r="L28" s="14">
        <f t="shared" si="6"/>
        <v>0</v>
      </c>
      <c r="M28" s="14">
        <f t="shared" si="6"/>
        <v>0</v>
      </c>
      <c r="N28" s="14">
        <f t="shared" si="6"/>
        <v>0</v>
      </c>
      <c r="O28" s="14">
        <f t="shared" si="6"/>
        <v>0</v>
      </c>
      <c r="P28" s="14">
        <f t="shared" si="6"/>
        <v>0</v>
      </c>
      <c r="Q28" s="14">
        <f t="shared" si="6"/>
        <v>0</v>
      </c>
      <c r="R28" s="14">
        <f t="shared" si="6"/>
        <v>1</v>
      </c>
      <c r="S28" s="14">
        <f t="shared" si="6"/>
        <v>0</v>
      </c>
      <c r="T28" s="14">
        <f t="shared" si="6"/>
        <v>0</v>
      </c>
      <c r="U28" s="14">
        <f t="shared" si="6"/>
        <v>0</v>
      </c>
      <c r="V28" s="14">
        <f t="shared" si="6"/>
        <v>2</v>
      </c>
      <c r="W28" s="14">
        <f t="shared" si="6"/>
        <v>2</v>
      </c>
      <c r="X28" s="14">
        <f t="shared" si="6"/>
        <v>0</v>
      </c>
      <c r="Y28" s="14">
        <f t="shared" si="6"/>
        <v>0</v>
      </c>
      <c r="Z28" s="14">
        <f t="shared" si="6"/>
        <v>0</v>
      </c>
      <c r="AA28" s="14">
        <f t="shared" si="6"/>
        <v>0</v>
      </c>
      <c r="AB28" s="14">
        <f t="shared" si="6"/>
        <v>2</v>
      </c>
      <c r="AC28" s="14">
        <f t="shared" si="6"/>
        <v>3</v>
      </c>
      <c r="AD28" s="14">
        <f t="shared" si="6"/>
        <v>2</v>
      </c>
      <c r="AE28" s="14">
        <f t="shared" si="6"/>
        <v>2</v>
      </c>
      <c r="AF28" s="14">
        <f t="shared" si="6"/>
        <v>2</v>
      </c>
      <c r="AG28" s="14">
        <f t="shared" si="6"/>
        <v>0</v>
      </c>
      <c r="AH28" s="14">
        <f t="shared" si="6"/>
        <v>0</v>
      </c>
      <c r="AI28" s="14">
        <f t="shared" si="6"/>
        <v>1</v>
      </c>
      <c r="AJ28" s="14">
        <f t="shared" si="6"/>
        <v>0</v>
      </c>
      <c r="AK28" s="14">
        <f t="shared" si="6"/>
        <v>0</v>
      </c>
      <c r="AL28" s="52" t="s">
        <v>19</v>
      </c>
      <c r="AM28" s="649" t="s">
        <v>17</v>
      </c>
      <c r="AN28" s="650"/>
      <c r="AO28" s="651"/>
      <c r="AP28" s="10"/>
    </row>
    <row r="29" spans="1:83" ht="22.5" customHeight="1" thickTop="1" thickBot="1">
      <c r="A29" s="669"/>
      <c r="B29" s="654"/>
      <c r="C29" s="654"/>
      <c r="D29" s="654"/>
      <c r="E29" s="654"/>
      <c r="F29" s="654"/>
      <c r="G29" s="286"/>
      <c r="H29" s="651" t="s">
        <v>93</v>
      </c>
      <c r="I29" s="655"/>
      <c r="J29" s="655"/>
      <c r="K29" s="3" t="s">
        <v>0</v>
      </c>
      <c r="L29" s="649" t="s">
        <v>5</v>
      </c>
      <c r="M29" s="651"/>
      <c r="N29" s="5" t="s">
        <v>68</v>
      </c>
      <c r="O29" s="656" t="s">
        <v>177</v>
      </c>
      <c r="P29" s="657"/>
      <c r="Q29" s="658"/>
      <c r="R29" s="5" t="s">
        <v>91</v>
      </c>
      <c r="S29" s="656" t="s">
        <v>179</v>
      </c>
      <c r="T29" s="657"/>
      <c r="U29" s="658"/>
      <c r="V29" s="6" t="s">
        <v>56</v>
      </c>
      <c r="W29" s="644" t="s">
        <v>178</v>
      </c>
      <c r="X29" s="645"/>
      <c r="Y29" s="645"/>
      <c r="Z29" s="6" t="s">
        <v>83</v>
      </c>
      <c r="AA29" s="644" t="s">
        <v>180</v>
      </c>
      <c r="AB29" s="645"/>
      <c r="AC29" s="645"/>
      <c r="AD29" s="152" t="s">
        <v>1</v>
      </c>
      <c r="AE29" s="646" t="s">
        <v>175</v>
      </c>
      <c r="AF29" s="647"/>
      <c r="AG29" s="648"/>
      <c r="AH29" s="513" t="s">
        <v>1</v>
      </c>
      <c r="AI29" s="649" t="s">
        <v>4</v>
      </c>
      <c r="AJ29" s="650"/>
      <c r="AK29" s="651"/>
      <c r="AL29" s="13" t="s">
        <v>20</v>
      </c>
      <c r="AM29" s="649" t="s">
        <v>18</v>
      </c>
      <c r="AN29" s="650"/>
      <c r="AO29" s="651"/>
      <c r="AP29" s="10"/>
    </row>
    <row r="30" spans="1:83" customFormat="1" ht="19" thickTop="1">
      <c r="B30" s="8"/>
      <c r="C30" s="652"/>
      <c r="D30" s="652"/>
      <c r="E30" s="653"/>
      <c r="F30" s="653"/>
      <c r="G30" s="156"/>
      <c r="H30" s="158"/>
      <c r="I30" s="157"/>
      <c r="J30" s="158"/>
      <c r="K30" s="158"/>
      <c r="L30" s="158"/>
      <c r="M30" s="158"/>
      <c r="N30" s="203"/>
      <c r="O30" s="158"/>
      <c r="P30" s="158"/>
      <c r="Q30" s="203"/>
      <c r="R30" s="157"/>
      <c r="S30" s="157"/>
      <c r="T30" s="158"/>
      <c r="U30" s="158"/>
      <c r="V30" s="158"/>
      <c r="W30" s="158"/>
      <c r="X30" s="157"/>
      <c r="Y30" s="157"/>
      <c r="Z30" s="157"/>
      <c r="AA30" s="158"/>
      <c r="AB30" s="203"/>
      <c r="AC30" s="158"/>
      <c r="AD30" s="158"/>
      <c r="AE30" s="203"/>
      <c r="AF30" s="157"/>
      <c r="AG30" s="158"/>
      <c r="AH30" s="158"/>
      <c r="AI30" s="157"/>
      <c r="AJ30" s="158"/>
      <c r="AK30" s="158"/>
      <c r="AN30" s="9"/>
      <c r="AO30" s="11"/>
    </row>
    <row r="31" spans="1:83" s="11" customFormat="1" ht="18">
      <c r="A31" s="1"/>
      <c r="B31" s="652"/>
      <c r="C31" s="652"/>
      <c r="D31" s="652"/>
      <c r="E31" s="652"/>
      <c r="F31" s="653"/>
      <c r="G31" s="653"/>
      <c r="H31" s="156"/>
      <c r="I31" s="158"/>
      <c r="J31" s="157"/>
      <c r="K31" s="158"/>
      <c r="L31" s="158"/>
      <c r="M31" s="157"/>
      <c r="N31" s="157"/>
      <c r="O31" s="203"/>
      <c r="P31" s="158"/>
      <c r="Q31" s="157"/>
      <c r="R31" s="157"/>
      <c r="S31" s="158"/>
      <c r="T31" s="158"/>
      <c r="U31" s="218"/>
      <c r="V31" s="158"/>
      <c r="W31" s="158"/>
      <c r="X31" s="158"/>
      <c r="Y31" s="158"/>
      <c r="Z31" s="156"/>
      <c r="AA31" s="158"/>
      <c r="AB31" s="158"/>
      <c r="AC31" s="158"/>
      <c r="AD31" s="158"/>
      <c r="AE31" s="157"/>
      <c r="AF31" s="158"/>
      <c r="AG31" s="156"/>
      <c r="AH31" s="158"/>
      <c r="AI31" s="158"/>
      <c r="AJ31" s="158"/>
      <c r="AK31" s="158"/>
      <c r="AL31" s="156"/>
      <c r="AM31" s="160"/>
      <c r="AN31" s="160"/>
      <c r="AP31" s="12"/>
      <c r="AQ31" s="1"/>
      <c r="AR31" s="1"/>
      <c r="AS31" s="1"/>
      <c r="AT31" s="1"/>
    </row>
    <row r="32" spans="1:83" s="11" customFormat="1">
      <c r="A32" s="1"/>
      <c r="B32" s="1"/>
      <c r="C32" s="1"/>
      <c r="D32" s="1"/>
      <c r="E32" s="1"/>
      <c r="F32" s="1"/>
      <c r="G32"/>
      <c r="H32" s="1"/>
      <c r="I32" s="1"/>
      <c r="J32" s="8"/>
      <c r="K32" s="8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7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9"/>
      <c r="AP32" s="12"/>
      <c r="AQ32" s="1"/>
      <c r="AR32" s="1"/>
      <c r="AS32" s="1"/>
      <c r="AT32" s="1"/>
    </row>
    <row r="33" spans="1:46" s="11" customFormat="1" ht="18">
      <c r="A33" s="1"/>
      <c r="B33" s="1"/>
      <c r="C33" s="1"/>
      <c r="D33" s="1"/>
      <c r="E33" s="1"/>
      <c r="F33" s="1"/>
      <c r="G33" s="17"/>
      <c r="H33" s="17"/>
      <c r="I33" s="17"/>
      <c r="J33" s="17"/>
      <c r="K33" s="15"/>
      <c r="L33" s="17"/>
      <c r="M33" s="17"/>
      <c r="N33" s="17"/>
      <c r="O33" s="17"/>
      <c r="P33" s="17"/>
      <c r="Q33" s="17"/>
      <c r="R33" s="15"/>
      <c r="S33" s="17"/>
      <c r="T33" s="16"/>
      <c r="U33" s="16"/>
      <c r="V33" s="16"/>
      <c r="W33" s="16"/>
      <c r="X33" s="16"/>
      <c r="Y33" s="15"/>
      <c r="Z33" s="16"/>
      <c r="AA33" s="16"/>
      <c r="AB33" s="16"/>
      <c r="AC33" s="16"/>
      <c r="AD33" s="16"/>
      <c r="AE33" s="16"/>
      <c r="AF33" s="15" t="s">
        <v>41</v>
      </c>
      <c r="AG33" s="16"/>
      <c r="AH33" s="16"/>
      <c r="AI33" s="16"/>
      <c r="AJ33" s="16"/>
      <c r="AK33" s="16"/>
      <c r="AL33" s="1"/>
      <c r="AM33" s="1"/>
      <c r="AN33" s="9"/>
      <c r="AP33" s="12"/>
      <c r="AQ33" s="1"/>
      <c r="AR33" s="1"/>
      <c r="AS33" s="1"/>
      <c r="AT33" s="1"/>
    </row>
    <row r="34" spans="1:46" s="11" customFormat="1">
      <c r="A34" s="1"/>
      <c r="B34" s="1"/>
      <c r="C34" s="1"/>
      <c r="D34" s="1"/>
      <c r="E34" s="1"/>
      <c r="F34" s="1"/>
      <c r="G34"/>
      <c r="H34" s="1"/>
      <c r="I34" s="1"/>
      <c r="J34" s="8"/>
      <c r="K34" s="8"/>
      <c r="L34" s="1"/>
      <c r="M34" t="s">
        <v>27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7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9"/>
      <c r="AP34" s="12"/>
      <c r="AQ34" s="1"/>
      <c r="AR34" s="1"/>
      <c r="AS34" s="1"/>
      <c r="AT34" s="1"/>
    </row>
    <row r="35" spans="1:46" s="11" customFormat="1">
      <c r="A35" s="1"/>
      <c r="B35" s="1"/>
      <c r="C35" s="1"/>
      <c r="D35" s="1"/>
      <c r="E35" s="1"/>
      <c r="F35" s="1"/>
      <c r="G35"/>
      <c r="H35" s="1"/>
      <c r="I35" s="1"/>
      <c r="J35" s="8"/>
      <c r="K35" s="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7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9"/>
      <c r="AP35" s="12"/>
      <c r="AQ35" s="1"/>
      <c r="AR35" s="1"/>
      <c r="AS35" s="1"/>
      <c r="AT35" s="1"/>
    </row>
    <row r="36" spans="1:46" s="11" customFormat="1">
      <c r="A36" s="1"/>
      <c r="B36" s="1"/>
      <c r="C36" s="1"/>
      <c r="D36" s="1"/>
      <c r="E36" s="1"/>
      <c r="F36" s="1"/>
      <c r="G36"/>
      <c r="H36" s="1"/>
      <c r="I36" s="1"/>
      <c r="J36" s="8"/>
      <c r="K36" s="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7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9"/>
      <c r="AP36" s="12"/>
      <c r="AQ36" s="1"/>
      <c r="AR36" s="1"/>
      <c r="AS36" s="1"/>
      <c r="AT36" s="1"/>
    </row>
    <row r="37" spans="1:46" s="11" customFormat="1">
      <c r="A37" s="1"/>
      <c r="B37" s="1"/>
      <c r="C37" s="1"/>
      <c r="D37" s="1"/>
      <c r="E37" s="1"/>
      <c r="F37" s="1"/>
      <c r="G37"/>
      <c r="H37" s="1"/>
      <c r="I37" s="1"/>
      <c r="J37" s="8"/>
      <c r="K37" s="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7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9"/>
      <c r="AP37" s="12"/>
      <c r="AQ37" s="1"/>
      <c r="AR37" s="1"/>
      <c r="AS37" s="1"/>
      <c r="AT37" s="1"/>
    </row>
    <row r="38" spans="1:46" s="11" customFormat="1">
      <c r="A38" s="1"/>
      <c r="B38" s="1"/>
      <c r="C38" s="1"/>
      <c r="D38" s="1"/>
      <c r="E38" s="1"/>
      <c r="F38" s="1"/>
      <c r="G38"/>
      <c r="H38" s="1"/>
      <c r="I38" s="1"/>
      <c r="J38" s="8"/>
      <c r="K38" s="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7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9"/>
      <c r="AP38" s="12"/>
      <c r="AQ38" s="1"/>
      <c r="AR38" s="1"/>
      <c r="AS38" s="1"/>
      <c r="AT38" s="1"/>
    </row>
    <row r="39" spans="1:46" s="11" customFormat="1">
      <c r="A39" s="1"/>
      <c r="B39" s="1"/>
      <c r="C39" s="1"/>
      <c r="D39" s="1"/>
      <c r="E39" s="1"/>
      <c r="F39" s="1"/>
      <c r="G39"/>
      <c r="H39" s="1"/>
      <c r="I39" s="1"/>
      <c r="J39" s="8"/>
      <c r="K39" s="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7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9"/>
      <c r="AP39" s="12"/>
      <c r="AQ39" s="1"/>
      <c r="AR39" s="1"/>
      <c r="AS39" s="1"/>
      <c r="AT39" s="1"/>
    </row>
    <row r="40" spans="1:46" s="11" customFormat="1">
      <c r="A40" s="1"/>
      <c r="B40" s="1"/>
      <c r="C40" s="1"/>
      <c r="D40" s="1"/>
      <c r="E40" s="1"/>
      <c r="F40" s="1"/>
      <c r="G40"/>
      <c r="H40" s="1"/>
      <c r="I40" s="1"/>
      <c r="J40" s="8"/>
      <c r="K40" s="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7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9"/>
      <c r="AP40" s="12"/>
      <c r="AQ40" s="1"/>
      <c r="AR40" s="1"/>
      <c r="AS40" s="1"/>
      <c r="AT40" s="1"/>
    </row>
    <row r="41" spans="1:46" s="11" customFormat="1">
      <c r="A41" s="1"/>
      <c r="B41" s="1"/>
      <c r="C41" s="1"/>
      <c r="D41" s="1"/>
      <c r="E41" s="1"/>
      <c r="F41" s="1"/>
      <c r="G41"/>
      <c r="H41" s="1"/>
      <c r="I41" s="1"/>
      <c r="J41" s="8"/>
      <c r="K41" s="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7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9"/>
      <c r="AP41" s="12"/>
      <c r="AQ41" s="1"/>
      <c r="AR41" s="1"/>
      <c r="AS41" s="1"/>
      <c r="AT41" s="1"/>
    </row>
    <row r="42" spans="1:46" s="11" customFormat="1">
      <c r="A42" s="1"/>
      <c r="B42" s="1"/>
      <c r="C42" s="1"/>
      <c r="D42" s="1"/>
      <c r="E42" s="1"/>
      <c r="F42" s="1"/>
      <c r="G42"/>
      <c r="H42" s="1"/>
      <c r="I42" s="1"/>
      <c r="J42" s="8"/>
      <c r="K42" s="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7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9"/>
      <c r="AP42" s="12"/>
      <c r="AQ42" s="1"/>
      <c r="AR42" s="1"/>
      <c r="AS42" s="1"/>
      <c r="AT42" s="1"/>
    </row>
    <row r="43" spans="1:46" s="11" customFormat="1">
      <c r="A43" s="1"/>
      <c r="B43" s="1"/>
      <c r="C43" s="1"/>
      <c r="D43" s="1"/>
      <c r="E43" s="1"/>
      <c r="F43" s="1"/>
      <c r="G43"/>
      <c r="H43" s="1"/>
      <c r="I43" s="1"/>
      <c r="J43" s="8"/>
      <c r="K43" s="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7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9"/>
      <c r="AP43" s="12"/>
      <c r="AQ43" s="1"/>
      <c r="AR43" s="1"/>
      <c r="AS43" s="1"/>
      <c r="AT43" s="1"/>
    </row>
    <row r="44" spans="1:46" s="11" customFormat="1">
      <c r="A44" s="1"/>
      <c r="B44" s="1"/>
      <c r="C44" s="1"/>
      <c r="D44" s="1"/>
      <c r="E44" s="1"/>
      <c r="F44" s="1"/>
      <c r="G44"/>
      <c r="H44" s="1"/>
      <c r="I44" s="1"/>
      <c r="J44" s="8"/>
      <c r="K44" s="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7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9"/>
      <c r="AP44" s="12"/>
      <c r="AQ44" s="1"/>
      <c r="AR44" s="1"/>
      <c r="AS44" s="1"/>
      <c r="AT44" s="1"/>
    </row>
    <row r="45" spans="1:46" s="11" customFormat="1">
      <c r="A45" s="1"/>
      <c r="B45" s="1"/>
      <c r="C45" s="1"/>
      <c r="D45" s="1"/>
      <c r="E45" s="1"/>
      <c r="F45" s="1"/>
      <c r="G45"/>
      <c r="H45" s="1"/>
      <c r="I45" s="1"/>
      <c r="J45" s="8"/>
      <c r="K45" s="8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7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9"/>
      <c r="AP45" s="12"/>
      <c r="AQ45" s="1"/>
      <c r="AR45" s="1"/>
      <c r="AS45" s="1"/>
      <c r="AT45" s="1"/>
    </row>
    <row r="46" spans="1:46" s="11" customFormat="1">
      <c r="A46" s="1"/>
      <c r="B46" s="1"/>
      <c r="C46" s="1"/>
      <c r="D46" s="1"/>
      <c r="E46" s="1"/>
      <c r="F46" s="1"/>
      <c r="G46"/>
      <c r="H46" s="1"/>
      <c r="I46" s="1"/>
      <c r="J46" s="8"/>
      <c r="K46" s="8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7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9"/>
      <c r="AP46" s="12"/>
      <c r="AQ46" s="1"/>
      <c r="AR46" s="1"/>
      <c r="AS46" s="1"/>
      <c r="AT46" s="1"/>
    </row>
    <row r="47" spans="1:46">
      <c r="Y47" s="1"/>
      <c r="AD47" s="1"/>
    </row>
    <row r="48" spans="1:46" ht="40">
      <c r="R48" s="125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543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527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8:AT18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AU24:AV24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51" priority="9" operator="equal">
      <formula>8</formula>
    </cfRule>
    <cfRule type="cellIs" dxfId="50" priority="10" operator="equal">
      <formula>0</formula>
    </cfRule>
  </conditionalFormatting>
  <conditionalFormatting sqref="BZ20:BZ21">
    <cfRule type="cellIs" dxfId="49" priority="5" operator="equal">
      <formula>8</formula>
    </cfRule>
    <cfRule type="cellIs" dxfId="48" priority="6" operator="equal">
      <formula>0</formula>
    </cfRule>
  </conditionalFormatting>
  <conditionalFormatting sqref="CA19">
    <cfRule type="cellIs" dxfId="47" priority="1" operator="equal">
      <formula>8</formula>
    </cfRule>
    <cfRule type="cellIs" dxfId="46" priority="2" operator="equal">
      <formula>0</formula>
    </cfRule>
  </conditionalFormatting>
  <conditionalFormatting sqref="CA25">
    <cfRule type="cellIs" dxfId="45" priority="3" operator="equal">
      <formula>8</formula>
    </cfRule>
    <cfRule type="cellIs" dxfId="44" priority="4" operator="equal">
      <formula>0</formula>
    </cfRule>
  </conditionalFormatting>
  <conditionalFormatting sqref="CB24">
    <cfRule type="cellIs" dxfId="43" priority="7" operator="equal">
      <formula>8</formula>
    </cfRule>
    <cfRule type="cellIs" dxfId="42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B36AF-E275-F54E-9C52-B4F517D93A3A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AJ27" sqref="AJ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8" customWidth="1"/>
    <col min="12" max="24" width="3.6640625" style="1" customWidth="1"/>
    <col min="25" max="25" width="3.6640625" style="38" customWidth="1"/>
    <col min="26" max="28" width="3.6640625" style="1" customWidth="1"/>
    <col min="29" max="29" width="3.6640625" style="7" customWidth="1"/>
    <col min="30" max="30" width="3.6640625" style="41" customWidth="1"/>
    <col min="31" max="39" width="3.6640625" style="1" customWidth="1"/>
    <col min="40" max="40" width="8.6640625" style="9" customWidth="1"/>
    <col min="41" max="41" width="5.1640625" style="11" customWidth="1"/>
    <col min="42" max="42" width="9" style="12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18"/>
      <c r="B1" s="729" t="s">
        <v>620</v>
      </c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  <c r="AA1" s="729"/>
      <c r="AB1" s="729"/>
      <c r="AC1" s="729"/>
      <c r="AD1" s="729"/>
      <c r="AE1" s="729"/>
      <c r="AF1" s="729"/>
      <c r="AG1" s="729"/>
      <c r="AH1" s="729"/>
      <c r="AI1" s="729"/>
      <c r="AJ1" s="729"/>
      <c r="AK1" s="729"/>
      <c r="AL1" s="729"/>
      <c r="AM1" s="729"/>
      <c r="AN1" s="729"/>
      <c r="AO1" s="729"/>
    </row>
    <row r="2" spans="1:46" ht="22.5" customHeight="1">
      <c r="A2" s="1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29"/>
      <c r="AB2" s="729"/>
      <c r="AC2" s="729"/>
      <c r="AD2" s="729"/>
      <c r="AE2" s="729"/>
      <c r="AF2" s="729"/>
      <c r="AG2" s="729"/>
      <c r="AH2" s="729"/>
      <c r="AI2" s="729"/>
      <c r="AJ2" s="729"/>
      <c r="AK2" s="729"/>
      <c r="AL2" s="729"/>
      <c r="AM2" s="729"/>
      <c r="AN2" s="729"/>
      <c r="AO2" s="729"/>
    </row>
    <row r="3" spans="1:46" ht="22.5" customHeight="1">
      <c r="A3" s="18"/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R3" s="730"/>
      <c r="S3" s="730"/>
      <c r="T3" s="730"/>
      <c r="U3" s="730"/>
      <c r="V3" s="730"/>
      <c r="W3" s="730"/>
      <c r="X3" s="730"/>
      <c r="Y3" s="730"/>
      <c r="Z3" s="730"/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</row>
    <row r="4" spans="1:46" ht="25" customHeight="1">
      <c r="B4" s="731"/>
      <c r="C4" s="733" t="s">
        <v>6</v>
      </c>
      <c r="D4" s="734"/>
      <c r="E4" s="734"/>
      <c r="F4" s="735"/>
      <c r="G4" s="310">
        <v>1</v>
      </c>
      <c r="H4" s="37">
        <v>2</v>
      </c>
      <c r="I4" s="37">
        <v>3</v>
      </c>
      <c r="J4" s="127">
        <v>4</v>
      </c>
      <c r="K4" s="51">
        <v>5</v>
      </c>
      <c r="L4" s="37">
        <v>6</v>
      </c>
      <c r="M4" s="37">
        <v>7</v>
      </c>
      <c r="N4" s="37">
        <v>8</v>
      </c>
      <c r="O4" s="37">
        <v>9</v>
      </c>
      <c r="P4" s="37">
        <v>10</v>
      </c>
      <c r="Q4" s="127">
        <v>11</v>
      </c>
      <c r="R4" s="51">
        <v>12</v>
      </c>
      <c r="S4" s="37">
        <v>13</v>
      </c>
      <c r="T4" s="37">
        <v>14</v>
      </c>
      <c r="U4" s="37">
        <v>15</v>
      </c>
      <c r="V4" s="37">
        <v>16</v>
      </c>
      <c r="W4" s="127">
        <v>17</v>
      </c>
      <c r="X4" s="127">
        <v>18</v>
      </c>
      <c r="Y4" s="51">
        <v>19</v>
      </c>
      <c r="Z4" s="37">
        <v>20</v>
      </c>
      <c r="AA4" s="37">
        <v>21</v>
      </c>
      <c r="AB4" s="37">
        <v>22</v>
      </c>
      <c r="AC4" s="37">
        <v>23</v>
      </c>
      <c r="AD4" s="37">
        <v>24</v>
      </c>
      <c r="AE4" s="127">
        <v>25</v>
      </c>
      <c r="AF4" s="51">
        <v>26</v>
      </c>
      <c r="AG4" s="37">
        <v>27</v>
      </c>
      <c r="AH4" s="37">
        <v>28</v>
      </c>
      <c r="AI4" s="37">
        <v>29</v>
      </c>
      <c r="AJ4" s="37">
        <v>30</v>
      </c>
      <c r="AK4" s="309">
        <v>31</v>
      </c>
      <c r="AL4" s="736" t="s">
        <v>35</v>
      </c>
      <c r="AM4" s="737"/>
      <c r="AN4" s="737"/>
      <c r="AO4" s="738"/>
      <c r="AP4" s="10"/>
    </row>
    <row r="5" spans="1:46" ht="25" customHeight="1">
      <c r="B5" s="732"/>
      <c r="C5" s="739" t="s">
        <v>7</v>
      </c>
      <c r="D5" s="740"/>
      <c r="E5" s="741" t="s">
        <v>8</v>
      </c>
      <c r="F5" s="742"/>
      <c r="G5" s="184" t="s">
        <v>50</v>
      </c>
      <c r="H5" s="185" t="s">
        <v>63</v>
      </c>
      <c r="I5" s="185" t="s">
        <v>11</v>
      </c>
      <c r="J5" s="186" t="s">
        <v>12</v>
      </c>
      <c r="K5" s="188" t="s">
        <v>13</v>
      </c>
      <c r="L5" s="185" t="s">
        <v>14</v>
      </c>
      <c r="M5" s="185" t="s">
        <v>15</v>
      </c>
      <c r="N5" s="185" t="s">
        <v>9</v>
      </c>
      <c r="O5" s="185" t="s">
        <v>10</v>
      </c>
      <c r="P5" s="185" t="s">
        <v>11</v>
      </c>
      <c r="Q5" s="186" t="s">
        <v>12</v>
      </c>
      <c r="R5" s="188" t="s">
        <v>13</v>
      </c>
      <c r="S5" s="185" t="s">
        <v>14</v>
      </c>
      <c r="T5" s="185" t="s">
        <v>15</v>
      </c>
      <c r="U5" s="185" t="s">
        <v>9</v>
      </c>
      <c r="V5" s="185" t="s">
        <v>10</v>
      </c>
      <c r="W5" s="186" t="s">
        <v>11</v>
      </c>
      <c r="X5" s="186" t="s">
        <v>12</v>
      </c>
      <c r="Y5" s="188" t="s">
        <v>13</v>
      </c>
      <c r="Z5" s="185" t="s">
        <v>14</v>
      </c>
      <c r="AA5" s="185" t="s">
        <v>15</v>
      </c>
      <c r="AB5" s="185" t="s">
        <v>9</v>
      </c>
      <c r="AC5" s="185" t="s">
        <v>10</v>
      </c>
      <c r="AD5" s="185" t="s">
        <v>11</v>
      </c>
      <c r="AE5" s="186" t="s">
        <v>12</v>
      </c>
      <c r="AF5" s="188" t="s">
        <v>13</v>
      </c>
      <c r="AG5" s="185" t="s">
        <v>14</v>
      </c>
      <c r="AH5" s="185" t="s">
        <v>15</v>
      </c>
      <c r="AI5" s="185" t="s">
        <v>9</v>
      </c>
      <c r="AJ5" s="185" t="s">
        <v>10</v>
      </c>
      <c r="AK5" s="208" t="s">
        <v>11</v>
      </c>
      <c r="AL5" s="3" t="s">
        <v>0</v>
      </c>
      <c r="AM5" s="553" t="s">
        <v>2</v>
      </c>
      <c r="AN5" s="253" t="s">
        <v>1</v>
      </c>
      <c r="AO5" s="36" t="s">
        <v>16</v>
      </c>
      <c r="AP5" s="10"/>
    </row>
    <row r="6" spans="1:46" ht="22" customHeight="1">
      <c r="B6" s="353">
        <v>1</v>
      </c>
      <c r="C6" s="718" t="s">
        <v>191</v>
      </c>
      <c r="D6" s="719"/>
      <c r="E6" s="720" t="s">
        <v>34</v>
      </c>
      <c r="F6" s="721"/>
      <c r="G6" s="76" t="s">
        <v>2</v>
      </c>
      <c r="H6" s="39" t="s">
        <v>2</v>
      </c>
      <c r="I6" s="39" t="s">
        <v>2</v>
      </c>
      <c r="J6" s="112" t="s">
        <v>1</v>
      </c>
      <c r="K6" s="75" t="s">
        <v>1</v>
      </c>
      <c r="L6" s="39" t="s">
        <v>2</v>
      </c>
      <c r="M6" s="75" t="s">
        <v>2</v>
      </c>
      <c r="N6" s="144" t="s">
        <v>2</v>
      </c>
      <c r="O6" s="39" t="s">
        <v>2</v>
      </c>
      <c r="P6" s="75" t="s">
        <v>2</v>
      </c>
      <c r="Q6" s="112" t="s">
        <v>21</v>
      </c>
      <c r="R6" s="75" t="s">
        <v>1</v>
      </c>
      <c r="S6" s="39" t="s">
        <v>2</v>
      </c>
      <c r="T6" s="75" t="s">
        <v>2</v>
      </c>
      <c r="U6" s="75" t="s">
        <v>2</v>
      </c>
      <c r="V6" s="39" t="s">
        <v>2</v>
      </c>
      <c r="W6" s="112" t="s">
        <v>21</v>
      </c>
      <c r="X6" s="112" t="s">
        <v>21</v>
      </c>
      <c r="Y6" s="75" t="s">
        <v>1</v>
      </c>
      <c r="Z6" s="39" t="s">
        <v>2</v>
      </c>
      <c r="AA6" s="75" t="s">
        <v>2</v>
      </c>
      <c r="AB6" s="75" t="s">
        <v>2</v>
      </c>
      <c r="AC6" s="79" t="s">
        <v>2</v>
      </c>
      <c r="AD6" s="75" t="s">
        <v>2</v>
      </c>
      <c r="AE6" s="112" t="s">
        <v>21</v>
      </c>
      <c r="AF6" s="75" t="s">
        <v>1</v>
      </c>
      <c r="AG6" s="39" t="s">
        <v>2</v>
      </c>
      <c r="AH6" s="75" t="s">
        <v>2</v>
      </c>
      <c r="AI6" s="75" t="s">
        <v>2</v>
      </c>
      <c r="AJ6" s="39" t="s">
        <v>2</v>
      </c>
      <c r="AK6" s="75" t="s">
        <v>2</v>
      </c>
      <c r="AL6" s="55">
        <f t="shared" ref="AL6:AL26" si="0">COUNTIF(G6:AK6,"▲")</f>
        <v>0</v>
      </c>
      <c r="AM6" s="21">
        <f t="shared" ref="AM6:AM26" si="1">COUNTIF(G6:AK6,"D")</f>
        <v>22</v>
      </c>
      <c r="AN6" s="22">
        <f t="shared" ref="AN6:AN26" si="2">COUNTIF(G6:AK6,"●")</f>
        <v>9</v>
      </c>
      <c r="AO6" s="27">
        <f>AN6+AL6</f>
        <v>9</v>
      </c>
      <c r="AP6" s="10"/>
    </row>
    <row r="7" spans="1:46" ht="21.75" customHeight="1">
      <c r="B7" s="54">
        <v>2</v>
      </c>
      <c r="C7" s="710" t="s">
        <v>22</v>
      </c>
      <c r="D7" s="722"/>
      <c r="E7" s="723" t="s">
        <v>23</v>
      </c>
      <c r="F7" s="724"/>
      <c r="G7" s="220" t="s">
        <v>1</v>
      </c>
      <c r="H7" s="43" t="s">
        <v>2</v>
      </c>
      <c r="I7" s="46" t="s">
        <v>2</v>
      </c>
      <c r="J7" s="141" t="s">
        <v>21</v>
      </c>
      <c r="K7" s="46" t="s">
        <v>21</v>
      </c>
      <c r="L7" s="93" t="s">
        <v>2</v>
      </c>
      <c r="M7" s="57" t="s">
        <v>1</v>
      </c>
      <c r="N7" s="111" t="s">
        <v>0</v>
      </c>
      <c r="O7" s="46" t="s">
        <v>2</v>
      </c>
      <c r="P7" s="46" t="s">
        <v>2</v>
      </c>
      <c r="Q7" s="46" t="s">
        <v>2</v>
      </c>
      <c r="R7" s="46" t="s">
        <v>21</v>
      </c>
      <c r="S7" s="196" t="s">
        <v>0</v>
      </c>
      <c r="T7" s="46" t="s">
        <v>2</v>
      </c>
      <c r="U7" s="93" t="s">
        <v>2</v>
      </c>
      <c r="V7" s="43" t="s">
        <v>2</v>
      </c>
      <c r="W7" s="46" t="s">
        <v>2</v>
      </c>
      <c r="X7" s="50" t="s">
        <v>21</v>
      </c>
      <c r="Y7" s="46" t="s">
        <v>21</v>
      </c>
      <c r="Z7" s="93" t="s">
        <v>2</v>
      </c>
      <c r="AA7" s="46" t="s">
        <v>2</v>
      </c>
      <c r="AB7" s="93" t="s">
        <v>2</v>
      </c>
      <c r="AC7" s="43" t="s">
        <v>2</v>
      </c>
      <c r="AD7" s="93" t="s">
        <v>2</v>
      </c>
      <c r="AE7" s="50" t="s">
        <v>21</v>
      </c>
      <c r="AF7" s="46" t="s">
        <v>21</v>
      </c>
      <c r="AG7" s="121" t="s">
        <v>2</v>
      </c>
      <c r="AH7" s="46" t="s">
        <v>2</v>
      </c>
      <c r="AI7" s="43" t="s">
        <v>2</v>
      </c>
      <c r="AJ7" s="43" t="s">
        <v>2</v>
      </c>
      <c r="AK7" s="46" t="s">
        <v>2</v>
      </c>
      <c r="AL7" s="221">
        <f t="shared" si="0"/>
        <v>2</v>
      </c>
      <c r="AM7" s="260">
        <f t="shared" si="1"/>
        <v>20</v>
      </c>
      <c r="AN7" s="32">
        <f t="shared" si="2"/>
        <v>9</v>
      </c>
      <c r="AO7" s="167">
        <f>AN7+AL7</f>
        <v>11</v>
      </c>
      <c r="AP7" s="10"/>
      <c r="AQ7"/>
      <c r="AT7"/>
    </row>
    <row r="8" spans="1:46" ht="22" customHeight="1">
      <c r="B8" s="353">
        <v>3</v>
      </c>
      <c r="C8" s="725" t="s">
        <v>36</v>
      </c>
      <c r="D8" s="726"/>
      <c r="E8" s="727" t="s">
        <v>37</v>
      </c>
      <c r="F8" s="728"/>
      <c r="G8" s="380" t="s">
        <v>2</v>
      </c>
      <c r="H8" s="233" t="s">
        <v>21</v>
      </c>
      <c r="I8" s="75" t="s">
        <v>2</v>
      </c>
      <c r="J8" s="42" t="s">
        <v>2</v>
      </c>
      <c r="K8" s="75" t="s">
        <v>21</v>
      </c>
      <c r="L8" s="75" t="s">
        <v>2</v>
      </c>
      <c r="M8" s="75" t="s">
        <v>2</v>
      </c>
      <c r="N8" s="75" t="s">
        <v>2</v>
      </c>
      <c r="O8" s="233" t="s">
        <v>21</v>
      </c>
      <c r="P8" s="239" t="s">
        <v>40</v>
      </c>
      <c r="Q8" s="233" t="s">
        <v>21</v>
      </c>
      <c r="R8" s="75" t="s">
        <v>21</v>
      </c>
      <c r="S8" s="42" t="s">
        <v>2</v>
      </c>
      <c r="T8" s="75" t="s">
        <v>2</v>
      </c>
      <c r="U8" s="144" t="s">
        <v>2</v>
      </c>
      <c r="V8" s="233" t="s">
        <v>21</v>
      </c>
      <c r="W8" s="75" t="s">
        <v>2</v>
      </c>
      <c r="X8" s="40" t="s">
        <v>2</v>
      </c>
      <c r="Y8" s="75" t="s">
        <v>21</v>
      </c>
      <c r="Z8" s="71" t="s">
        <v>2</v>
      </c>
      <c r="AA8" s="213" t="s">
        <v>21</v>
      </c>
      <c r="AB8" s="75" t="s">
        <v>2</v>
      </c>
      <c r="AC8" s="75" t="s">
        <v>2</v>
      </c>
      <c r="AD8" s="75" t="s">
        <v>2</v>
      </c>
      <c r="AE8" s="71" t="s">
        <v>2</v>
      </c>
      <c r="AF8" s="75" t="s">
        <v>21</v>
      </c>
      <c r="AG8" s="75" t="s">
        <v>2</v>
      </c>
      <c r="AH8" s="75" t="s">
        <v>2</v>
      </c>
      <c r="AI8" s="75" t="s">
        <v>2</v>
      </c>
      <c r="AJ8" s="111" t="s">
        <v>40</v>
      </c>
      <c r="AK8" s="111" t="s">
        <v>40</v>
      </c>
      <c r="AL8" s="124">
        <f t="shared" si="0"/>
        <v>3</v>
      </c>
      <c r="AM8" s="33">
        <f t="shared" si="1"/>
        <v>19</v>
      </c>
      <c r="AN8" s="22">
        <f t="shared" si="2"/>
        <v>9</v>
      </c>
      <c r="AO8" s="27">
        <f>AN8+AL8</f>
        <v>12</v>
      </c>
      <c r="AP8" s="10"/>
      <c r="AR8"/>
    </row>
    <row r="9" spans="1:46" ht="22" hidden="1" customHeight="1">
      <c r="A9" s="701"/>
      <c r="B9" s="20">
        <v>4</v>
      </c>
      <c r="C9" s="781"/>
      <c r="D9" s="782"/>
      <c r="E9" s="704"/>
      <c r="F9" s="705"/>
      <c r="G9" s="70"/>
      <c r="H9" s="388"/>
      <c r="I9" s="40"/>
      <c r="J9" s="59"/>
      <c r="K9" s="40" t="s">
        <v>1</v>
      </c>
      <c r="L9" s="59"/>
      <c r="M9" s="40"/>
      <c r="N9" s="45"/>
      <c r="O9" s="59"/>
      <c r="P9" s="40"/>
      <c r="Q9" s="59"/>
      <c r="R9" s="40" t="s">
        <v>1</v>
      </c>
      <c r="S9" s="40"/>
      <c r="T9" s="40"/>
      <c r="U9" s="42"/>
      <c r="V9" s="40"/>
      <c r="W9" s="40"/>
      <c r="X9" s="59"/>
      <c r="Y9" s="40" t="s">
        <v>1</v>
      </c>
      <c r="Z9" s="44"/>
      <c r="AA9" s="40"/>
      <c r="AB9" s="44"/>
      <c r="AC9" s="59"/>
      <c r="AD9" s="40"/>
      <c r="AE9" s="59"/>
      <c r="AF9" s="40" t="s">
        <v>1</v>
      </c>
      <c r="AG9" s="57"/>
      <c r="AH9" s="40"/>
      <c r="AI9" s="40"/>
      <c r="AJ9" s="59"/>
      <c r="AK9" s="40"/>
      <c r="AL9" s="30">
        <f t="shared" si="0"/>
        <v>0</v>
      </c>
      <c r="AM9" s="25">
        <f t="shared" si="1"/>
        <v>0</v>
      </c>
      <c r="AN9" s="26">
        <f t="shared" si="2"/>
        <v>4</v>
      </c>
      <c r="AO9" s="29"/>
      <c r="AP9" s="10"/>
      <c r="AR9" t="s">
        <v>168</v>
      </c>
      <c r="AS9" t="s">
        <v>169</v>
      </c>
      <c r="AT9" t="s">
        <v>170</v>
      </c>
    </row>
    <row r="10" spans="1:46" ht="22" customHeight="1">
      <c r="A10" s="701"/>
      <c r="B10" s="20">
        <v>4</v>
      </c>
      <c r="C10" s="702" t="s">
        <v>46</v>
      </c>
      <c r="D10" s="703"/>
      <c r="E10" s="704" t="s">
        <v>24</v>
      </c>
      <c r="F10" s="705"/>
      <c r="G10" s="58" t="s">
        <v>2</v>
      </c>
      <c r="H10" s="59" t="s">
        <v>2</v>
      </c>
      <c r="I10" s="59" t="s">
        <v>2</v>
      </c>
      <c r="J10" s="59" t="s">
        <v>2</v>
      </c>
      <c r="K10" s="59" t="s">
        <v>21</v>
      </c>
      <c r="L10" s="59" t="s">
        <v>2</v>
      </c>
      <c r="M10" s="153" t="s">
        <v>21</v>
      </c>
      <c r="N10" s="111" t="s">
        <v>0</v>
      </c>
      <c r="O10" s="40" t="s">
        <v>2</v>
      </c>
      <c r="P10" s="59" t="s">
        <v>2</v>
      </c>
      <c r="Q10" s="57" t="s">
        <v>21</v>
      </c>
      <c r="R10" s="59" t="s">
        <v>21</v>
      </c>
      <c r="S10" s="40" t="s">
        <v>2</v>
      </c>
      <c r="T10" s="59" t="s">
        <v>2</v>
      </c>
      <c r="U10" s="40" t="s">
        <v>2</v>
      </c>
      <c r="V10" s="40" t="s">
        <v>2</v>
      </c>
      <c r="W10" s="114" t="s">
        <v>1</v>
      </c>
      <c r="X10" s="57" t="s">
        <v>21</v>
      </c>
      <c r="Y10" s="59" t="s">
        <v>21</v>
      </c>
      <c r="Z10" s="40" t="s">
        <v>2</v>
      </c>
      <c r="AA10" s="59" t="s">
        <v>2</v>
      </c>
      <c r="AB10" s="230" t="s">
        <v>2</v>
      </c>
      <c r="AC10" s="59" t="s">
        <v>2</v>
      </c>
      <c r="AD10" s="59" t="s">
        <v>2</v>
      </c>
      <c r="AE10" s="114" t="s">
        <v>21</v>
      </c>
      <c r="AF10" s="59" t="s">
        <v>21</v>
      </c>
      <c r="AG10" s="40" t="s">
        <v>2</v>
      </c>
      <c r="AH10" s="59" t="s">
        <v>2</v>
      </c>
      <c r="AI10" s="40" t="s">
        <v>2</v>
      </c>
      <c r="AJ10" s="40" t="s">
        <v>2</v>
      </c>
      <c r="AK10" s="59" t="s">
        <v>2</v>
      </c>
      <c r="AL10" s="30">
        <f t="shared" si="0"/>
        <v>1</v>
      </c>
      <c r="AM10" s="25">
        <f t="shared" si="1"/>
        <v>21</v>
      </c>
      <c r="AN10" s="26">
        <f t="shared" si="2"/>
        <v>9</v>
      </c>
      <c r="AO10" s="29">
        <f t="shared" ref="AO10:AO26" si="3">AN10+AL10</f>
        <v>10</v>
      </c>
      <c r="AP10" s="10">
        <v>3</v>
      </c>
      <c r="AQ10"/>
      <c r="AR10"/>
      <c r="AS10"/>
      <c r="AT10"/>
    </row>
    <row r="11" spans="1:46" ht="22" customHeight="1">
      <c r="A11" s="701"/>
      <c r="B11" s="20">
        <v>5</v>
      </c>
      <c r="C11" s="706" t="s">
        <v>167</v>
      </c>
      <c r="D11" s="707"/>
      <c r="E11" s="698" t="s">
        <v>24</v>
      </c>
      <c r="F11" s="699"/>
      <c r="G11" s="258" t="s">
        <v>21</v>
      </c>
      <c r="H11" s="40" t="s">
        <v>2</v>
      </c>
      <c r="I11" s="121" t="s">
        <v>2</v>
      </c>
      <c r="J11" s="47" t="s">
        <v>2</v>
      </c>
      <c r="K11" s="59" t="s">
        <v>1</v>
      </c>
      <c r="L11" s="111" t="s">
        <v>40</v>
      </c>
      <c r="M11" s="59" t="s">
        <v>2</v>
      </c>
      <c r="N11" s="59" t="s">
        <v>2</v>
      </c>
      <c r="O11" s="40" t="s">
        <v>2</v>
      </c>
      <c r="P11" s="59" t="s">
        <v>2</v>
      </c>
      <c r="Q11" s="153" t="s">
        <v>21</v>
      </c>
      <c r="R11" s="59" t="s">
        <v>1</v>
      </c>
      <c r="S11" s="111" t="s">
        <v>40</v>
      </c>
      <c r="T11" s="59" t="s">
        <v>2</v>
      </c>
      <c r="U11" s="40" t="s">
        <v>2</v>
      </c>
      <c r="V11" s="111" t="s">
        <v>40</v>
      </c>
      <c r="W11" s="59" t="s">
        <v>2</v>
      </c>
      <c r="X11" s="40" t="s">
        <v>2</v>
      </c>
      <c r="Y11" s="59" t="s">
        <v>1</v>
      </c>
      <c r="Z11" s="40" t="s">
        <v>2</v>
      </c>
      <c r="AA11" s="59" t="s">
        <v>2</v>
      </c>
      <c r="AB11" s="57" t="s">
        <v>21</v>
      </c>
      <c r="AC11" s="40" t="s">
        <v>2</v>
      </c>
      <c r="AD11" s="59" t="s">
        <v>2</v>
      </c>
      <c r="AE11" s="57" t="s">
        <v>21</v>
      </c>
      <c r="AF11" s="59" t="s">
        <v>1</v>
      </c>
      <c r="AG11" s="40" t="s">
        <v>2</v>
      </c>
      <c r="AH11" s="57" t="s">
        <v>21</v>
      </c>
      <c r="AI11" s="59" t="s">
        <v>2</v>
      </c>
      <c r="AJ11" s="40" t="s">
        <v>2</v>
      </c>
      <c r="AK11" s="59" t="s">
        <v>2</v>
      </c>
      <c r="AL11" s="30">
        <f t="shared" si="0"/>
        <v>3</v>
      </c>
      <c r="AM11" s="25">
        <f t="shared" si="1"/>
        <v>19</v>
      </c>
      <c r="AN11" s="26">
        <f t="shared" si="2"/>
        <v>9</v>
      </c>
      <c r="AO11" s="29">
        <f t="shared" si="3"/>
        <v>12</v>
      </c>
      <c r="AP11" s="238">
        <v>7</v>
      </c>
      <c r="AR11"/>
    </row>
    <row r="12" spans="1:46" ht="22" customHeight="1">
      <c r="A12" s="701"/>
      <c r="B12" s="20">
        <v>6</v>
      </c>
      <c r="C12" s="708" t="s">
        <v>617</v>
      </c>
      <c r="D12" s="709"/>
      <c r="E12" s="673" t="s">
        <v>32</v>
      </c>
      <c r="F12" s="674"/>
      <c r="G12" s="70" t="s">
        <v>2</v>
      </c>
      <c r="H12" s="40" t="s">
        <v>2</v>
      </c>
      <c r="I12" s="114" t="s">
        <v>21</v>
      </c>
      <c r="J12" s="57" t="s">
        <v>21</v>
      </c>
      <c r="K12" s="40" t="s">
        <v>1</v>
      </c>
      <c r="L12" s="59" t="s">
        <v>2</v>
      </c>
      <c r="M12" s="40" t="s">
        <v>2</v>
      </c>
      <c r="N12" s="40" t="s">
        <v>2</v>
      </c>
      <c r="O12" s="57" t="s">
        <v>1</v>
      </c>
      <c r="P12" s="40" t="s">
        <v>2</v>
      </c>
      <c r="Q12" s="40" t="s">
        <v>2</v>
      </c>
      <c r="R12" s="40" t="s">
        <v>1</v>
      </c>
      <c r="S12" s="257" t="s">
        <v>2</v>
      </c>
      <c r="T12" s="40" t="s">
        <v>2</v>
      </c>
      <c r="U12" s="40" t="s">
        <v>2</v>
      </c>
      <c r="V12" s="40" t="s">
        <v>2</v>
      </c>
      <c r="W12" s="40" t="s">
        <v>2</v>
      </c>
      <c r="X12" s="137" t="s">
        <v>21</v>
      </c>
      <c r="Y12" s="40" t="s">
        <v>1</v>
      </c>
      <c r="Z12" s="59" t="s">
        <v>2</v>
      </c>
      <c r="AA12" s="40" t="s">
        <v>2</v>
      </c>
      <c r="AB12" s="40" t="s">
        <v>2</v>
      </c>
      <c r="AC12" s="40" t="s">
        <v>2</v>
      </c>
      <c r="AD12" s="57" t="s">
        <v>21</v>
      </c>
      <c r="AE12" s="40" t="s">
        <v>2</v>
      </c>
      <c r="AF12" s="40" t="s">
        <v>1</v>
      </c>
      <c r="AG12" s="40" t="s">
        <v>2</v>
      </c>
      <c r="AH12" s="40" t="s">
        <v>2</v>
      </c>
      <c r="AI12" s="40" t="s">
        <v>2</v>
      </c>
      <c r="AJ12" s="40" t="s">
        <v>2</v>
      </c>
      <c r="AK12" s="40" t="s">
        <v>2</v>
      </c>
      <c r="AL12" s="30">
        <f t="shared" si="0"/>
        <v>0</v>
      </c>
      <c r="AM12" s="25">
        <f t="shared" si="1"/>
        <v>22</v>
      </c>
      <c r="AN12" s="26">
        <f t="shared" si="2"/>
        <v>9</v>
      </c>
      <c r="AO12" s="29">
        <f t="shared" si="3"/>
        <v>9</v>
      </c>
      <c r="AP12" s="409"/>
      <c r="AS12"/>
      <c r="AT12"/>
    </row>
    <row r="13" spans="1:46" ht="22" customHeight="1" thickBot="1">
      <c r="A13" s="701"/>
      <c r="B13" s="54">
        <v>7</v>
      </c>
      <c r="C13" s="710" t="s">
        <v>29</v>
      </c>
      <c r="D13" s="711"/>
      <c r="E13" s="712" t="s">
        <v>28</v>
      </c>
      <c r="F13" s="713"/>
      <c r="G13" s="66" t="s">
        <v>2</v>
      </c>
      <c r="H13" s="44" t="s">
        <v>2</v>
      </c>
      <c r="I13" s="44" t="s">
        <v>2</v>
      </c>
      <c r="J13" s="83" t="s">
        <v>1</v>
      </c>
      <c r="K13" s="93" t="s">
        <v>1</v>
      </c>
      <c r="L13" s="44" t="s">
        <v>2</v>
      </c>
      <c r="M13" s="121" t="s">
        <v>2</v>
      </c>
      <c r="N13" s="129" t="s">
        <v>2</v>
      </c>
      <c r="O13" s="44" t="s">
        <v>2</v>
      </c>
      <c r="P13" s="121" t="s">
        <v>2</v>
      </c>
      <c r="Q13" s="83" t="s">
        <v>1</v>
      </c>
      <c r="R13" s="93" t="s">
        <v>1</v>
      </c>
      <c r="S13" s="44" t="s">
        <v>2</v>
      </c>
      <c r="T13" s="93" t="s">
        <v>2</v>
      </c>
      <c r="U13" s="121" t="s">
        <v>2</v>
      </c>
      <c r="V13" s="44" t="s">
        <v>2</v>
      </c>
      <c r="W13" s="171" t="s">
        <v>1</v>
      </c>
      <c r="X13" s="83" t="s">
        <v>21</v>
      </c>
      <c r="Y13" s="93" t="s">
        <v>1</v>
      </c>
      <c r="Z13" s="44" t="s">
        <v>2</v>
      </c>
      <c r="AA13" s="121" t="s">
        <v>2</v>
      </c>
      <c r="AB13" s="121" t="s">
        <v>2</v>
      </c>
      <c r="AC13" s="87" t="s">
        <v>2</v>
      </c>
      <c r="AD13" s="121" t="s">
        <v>2</v>
      </c>
      <c r="AE13" s="83" t="s">
        <v>21</v>
      </c>
      <c r="AF13" s="93" t="s">
        <v>1</v>
      </c>
      <c r="AG13" s="44" t="s">
        <v>2</v>
      </c>
      <c r="AH13" s="121" t="s">
        <v>2</v>
      </c>
      <c r="AI13" s="121" t="s">
        <v>2</v>
      </c>
      <c r="AJ13" s="44" t="s">
        <v>2</v>
      </c>
      <c r="AK13" s="121" t="s">
        <v>2</v>
      </c>
      <c r="AL13" s="221">
        <f t="shared" si="0"/>
        <v>0</v>
      </c>
      <c r="AM13" s="260">
        <f t="shared" si="1"/>
        <v>22</v>
      </c>
      <c r="AN13" s="32">
        <f t="shared" si="2"/>
        <v>9</v>
      </c>
      <c r="AO13" s="167">
        <f t="shared" si="3"/>
        <v>9</v>
      </c>
      <c r="AP13" s="10">
        <v>2</v>
      </c>
    </row>
    <row r="14" spans="1:46" ht="22" customHeight="1">
      <c r="A14" s="701"/>
      <c r="B14" s="353">
        <v>8</v>
      </c>
      <c r="C14" s="714" t="s">
        <v>25</v>
      </c>
      <c r="D14" s="715"/>
      <c r="E14" s="785" t="s">
        <v>30</v>
      </c>
      <c r="F14" s="771"/>
      <c r="G14" s="270" t="s">
        <v>2</v>
      </c>
      <c r="H14" s="169" t="s">
        <v>2</v>
      </c>
      <c r="I14" s="81" t="s">
        <v>2</v>
      </c>
      <c r="J14" s="325" t="s">
        <v>21</v>
      </c>
      <c r="K14" s="62" t="s">
        <v>21</v>
      </c>
      <c r="L14" s="120" t="s">
        <v>0</v>
      </c>
      <c r="M14" s="75" t="s">
        <v>2</v>
      </c>
      <c r="N14" s="75" t="s">
        <v>2</v>
      </c>
      <c r="O14" s="39" t="s">
        <v>2</v>
      </c>
      <c r="P14" s="75" t="s">
        <v>2</v>
      </c>
      <c r="Q14" s="139" t="s">
        <v>21</v>
      </c>
      <c r="R14" s="71" t="s">
        <v>21</v>
      </c>
      <c r="S14" s="75" t="s">
        <v>2</v>
      </c>
      <c r="T14" s="201" t="s">
        <v>40</v>
      </c>
      <c r="U14" s="39" t="s">
        <v>2</v>
      </c>
      <c r="V14" s="39" t="s">
        <v>2</v>
      </c>
      <c r="W14" s="233" t="s">
        <v>1</v>
      </c>
      <c r="X14" s="39" t="s">
        <v>2</v>
      </c>
      <c r="Y14" s="179" t="s">
        <v>21</v>
      </c>
      <c r="Z14" s="323" t="s">
        <v>2</v>
      </c>
      <c r="AA14" s="169" t="s">
        <v>2</v>
      </c>
      <c r="AB14" s="169" t="s">
        <v>2</v>
      </c>
      <c r="AC14" s="358" t="s">
        <v>40</v>
      </c>
      <c r="AD14" s="169" t="s">
        <v>2</v>
      </c>
      <c r="AE14" s="316" t="s">
        <v>21</v>
      </c>
      <c r="AF14" s="62" t="s">
        <v>21</v>
      </c>
      <c r="AG14" s="75" t="s">
        <v>2</v>
      </c>
      <c r="AH14" s="75" t="s">
        <v>2</v>
      </c>
      <c r="AI14" s="75" t="s">
        <v>2</v>
      </c>
      <c r="AJ14" s="233" t="s">
        <v>21</v>
      </c>
      <c r="AK14" s="75" t="s">
        <v>2</v>
      </c>
      <c r="AL14" s="55">
        <f t="shared" si="0"/>
        <v>3</v>
      </c>
      <c r="AM14" s="21">
        <f t="shared" si="1"/>
        <v>19</v>
      </c>
      <c r="AN14" s="22">
        <f t="shared" si="2"/>
        <v>9</v>
      </c>
      <c r="AO14" s="27">
        <f t="shared" si="3"/>
        <v>12</v>
      </c>
      <c r="AP14" s="238">
        <v>4</v>
      </c>
      <c r="AQ14" s="470"/>
      <c r="AR14" s="700"/>
      <c r="AS14" s="700"/>
      <c r="AT14"/>
    </row>
    <row r="15" spans="1:46" ht="21.75" customHeight="1">
      <c r="A15" s="19" t="s">
        <v>80</v>
      </c>
      <c r="B15" s="301">
        <v>9</v>
      </c>
      <c r="C15" s="684" t="s">
        <v>49</v>
      </c>
      <c r="D15" s="685"/>
      <c r="E15" s="698" t="s">
        <v>31</v>
      </c>
      <c r="F15" s="699"/>
      <c r="G15" s="285" t="s">
        <v>2</v>
      </c>
      <c r="H15" s="59" t="s">
        <v>2</v>
      </c>
      <c r="I15" s="59" t="s">
        <v>2</v>
      </c>
      <c r="J15" s="272" t="s">
        <v>21</v>
      </c>
      <c r="K15" s="64" t="s">
        <v>21</v>
      </c>
      <c r="L15" s="59" t="s">
        <v>2</v>
      </c>
      <c r="M15" s="40" t="s">
        <v>2</v>
      </c>
      <c r="N15" s="40" t="s">
        <v>2</v>
      </c>
      <c r="O15" s="137" t="s">
        <v>21</v>
      </c>
      <c r="P15" s="40" t="s">
        <v>2</v>
      </c>
      <c r="Q15" s="59" t="s">
        <v>2</v>
      </c>
      <c r="R15" s="40" t="s">
        <v>21</v>
      </c>
      <c r="S15" s="59" t="s">
        <v>2</v>
      </c>
      <c r="T15" s="40" t="s">
        <v>2</v>
      </c>
      <c r="U15" s="111" t="s">
        <v>0</v>
      </c>
      <c r="V15" s="59" t="s">
        <v>2</v>
      </c>
      <c r="W15" s="40" t="s">
        <v>2</v>
      </c>
      <c r="X15" s="114" t="s">
        <v>21</v>
      </c>
      <c r="Y15" s="68" t="s">
        <v>21</v>
      </c>
      <c r="Z15" s="381" t="s">
        <v>21</v>
      </c>
      <c r="AA15" s="40" t="s">
        <v>2</v>
      </c>
      <c r="AB15" s="40" t="s">
        <v>2</v>
      </c>
      <c r="AC15" s="59" t="s">
        <v>2</v>
      </c>
      <c r="AD15" s="40" t="s">
        <v>2</v>
      </c>
      <c r="AE15" s="318" t="s">
        <v>1</v>
      </c>
      <c r="AF15" s="64" t="s">
        <v>21</v>
      </c>
      <c r="AG15" s="40" t="s">
        <v>2</v>
      </c>
      <c r="AH15" s="40" t="s">
        <v>2</v>
      </c>
      <c r="AI15" s="59" t="s">
        <v>2</v>
      </c>
      <c r="AJ15" s="59" t="s">
        <v>2</v>
      </c>
      <c r="AK15" s="111" t="s">
        <v>40</v>
      </c>
      <c r="AL15" s="30">
        <f t="shared" si="0"/>
        <v>2</v>
      </c>
      <c r="AM15" s="25">
        <f t="shared" si="1"/>
        <v>20</v>
      </c>
      <c r="AN15" s="26">
        <f t="shared" si="2"/>
        <v>9</v>
      </c>
      <c r="AO15" s="29">
        <f t="shared" si="3"/>
        <v>11</v>
      </c>
      <c r="AP15" s="238">
        <v>3</v>
      </c>
      <c r="AQ15"/>
      <c r="AR15" s="96"/>
      <c r="AS15" s="96"/>
    </row>
    <row r="16" spans="1:46" ht="21.75" customHeight="1">
      <c r="A16" s="19"/>
      <c r="B16" s="301">
        <v>10</v>
      </c>
      <c r="C16" s="684" t="s">
        <v>114</v>
      </c>
      <c r="D16" s="685"/>
      <c r="E16" s="698" t="s">
        <v>31</v>
      </c>
      <c r="F16" s="699"/>
      <c r="G16" s="280" t="s">
        <v>2</v>
      </c>
      <c r="H16" s="59" t="s">
        <v>2</v>
      </c>
      <c r="I16" s="57" t="s">
        <v>21</v>
      </c>
      <c r="J16" s="284" t="s">
        <v>2</v>
      </c>
      <c r="K16" s="47" t="s">
        <v>21</v>
      </c>
      <c r="L16" s="40" t="s">
        <v>2</v>
      </c>
      <c r="M16" s="59" t="s">
        <v>2</v>
      </c>
      <c r="N16" s="40" t="s">
        <v>2</v>
      </c>
      <c r="O16" s="59" t="s">
        <v>2</v>
      </c>
      <c r="P16" s="59" t="s">
        <v>2</v>
      </c>
      <c r="Q16" s="137" t="s">
        <v>21</v>
      </c>
      <c r="R16" s="59" t="s">
        <v>21</v>
      </c>
      <c r="S16" s="59" t="s">
        <v>2</v>
      </c>
      <c r="T16" s="59" t="s">
        <v>2</v>
      </c>
      <c r="U16" s="59" t="s">
        <v>2</v>
      </c>
      <c r="V16" s="57" t="s">
        <v>21</v>
      </c>
      <c r="W16" s="114" t="s">
        <v>1</v>
      </c>
      <c r="X16" s="59" t="s">
        <v>2</v>
      </c>
      <c r="Y16" s="89" t="s">
        <v>21</v>
      </c>
      <c r="Z16" s="280" t="s">
        <v>2</v>
      </c>
      <c r="AA16" s="59" t="s">
        <v>2</v>
      </c>
      <c r="AB16" s="111" t="s">
        <v>40</v>
      </c>
      <c r="AC16" s="59" t="s">
        <v>2</v>
      </c>
      <c r="AD16" s="59" t="s">
        <v>2</v>
      </c>
      <c r="AE16" s="318" t="s">
        <v>1</v>
      </c>
      <c r="AF16" s="47" t="s">
        <v>21</v>
      </c>
      <c r="AG16" s="40" t="s">
        <v>2</v>
      </c>
      <c r="AH16" s="119" t="s">
        <v>83</v>
      </c>
      <c r="AI16" s="59" t="s">
        <v>2</v>
      </c>
      <c r="AJ16" s="68" t="s">
        <v>2</v>
      </c>
      <c r="AK16" s="147" t="s">
        <v>2</v>
      </c>
      <c r="AL16" s="30">
        <f t="shared" si="0"/>
        <v>1</v>
      </c>
      <c r="AM16" s="25">
        <f t="shared" si="1"/>
        <v>20</v>
      </c>
      <c r="AN16" s="26">
        <f t="shared" si="2"/>
        <v>9</v>
      </c>
      <c r="AO16" s="29">
        <f t="shared" si="3"/>
        <v>10</v>
      </c>
      <c r="AP16" s="10">
        <v>2</v>
      </c>
      <c r="AR16" s="96"/>
      <c r="AS16" s="96"/>
    </row>
    <row r="17" spans="1:83" ht="21.75" customHeight="1" thickBot="1">
      <c r="A17" s="19" t="s">
        <v>613</v>
      </c>
      <c r="B17" s="301">
        <v>11</v>
      </c>
      <c r="C17" s="696" t="s">
        <v>192</v>
      </c>
      <c r="D17" s="697"/>
      <c r="E17" s="698" t="s">
        <v>31</v>
      </c>
      <c r="F17" s="699"/>
      <c r="G17" s="540" t="s">
        <v>21</v>
      </c>
      <c r="H17" s="275" t="s">
        <v>2</v>
      </c>
      <c r="I17" s="275" t="s">
        <v>2</v>
      </c>
      <c r="J17" s="556" t="s">
        <v>2</v>
      </c>
      <c r="K17" s="47" t="s">
        <v>21</v>
      </c>
      <c r="L17" s="40" t="s">
        <v>2</v>
      </c>
      <c r="M17" s="59" t="s">
        <v>2</v>
      </c>
      <c r="N17" s="111" t="s">
        <v>0</v>
      </c>
      <c r="O17" s="40" t="s">
        <v>2</v>
      </c>
      <c r="P17" s="59" t="s">
        <v>2</v>
      </c>
      <c r="Q17" s="114" t="s">
        <v>21</v>
      </c>
      <c r="R17" s="59" t="s">
        <v>21</v>
      </c>
      <c r="S17" s="111" t="s">
        <v>40</v>
      </c>
      <c r="T17" s="121" t="s">
        <v>2</v>
      </c>
      <c r="U17" s="121" t="s">
        <v>2</v>
      </c>
      <c r="V17" s="44" t="s">
        <v>2</v>
      </c>
      <c r="W17" s="44" t="s">
        <v>2</v>
      </c>
      <c r="X17" s="137" t="s">
        <v>21</v>
      </c>
      <c r="Y17" s="89" t="s">
        <v>21</v>
      </c>
      <c r="Z17" s="341" t="s">
        <v>2</v>
      </c>
      <c r="AA17" s="277" t="s">
        <v>40</v>
      </c>
      <c r="AB17" s="275" t="s">
        <v>2</v>
      </c>
      <c r="AC17" s="275" t="s">
        <v>2</v>
      </c>
      <c r="AD17" s="385" t="s">
        <v>21</v>
      </c>
      <c r="AE17" s="282" t="s">
        <v>2</v>
      </c>
      <c r="AF17" s="47" t="s">
        <v>21</v>
      </c>
      <c r="AG17" s="59" t="s">
        <v>2</v>
      </c>
      <c r="AH17" s="59" t="s">
        <v>2</v>
      </c>
      <c r="AI17" s="114" t="s">
        <v>21</v>
      </c>
      <c r="AJ17" s="119" t="s">
        <v>83</v>
      </c>
      <c r="AK17" s="147" t="s">
        <v>2</v>
      </c>
      <c r="AL17" s="30">
        <f t="shared" si="0"/>
        <v>3</v>
      </c>
      <c r="AM17" s="25">
        <f t="shared" si="1"/>
        <v>18</v>
      </c>
      <c r="AN17" s="26">
        <f t="shared" si="2"/>
        <v>9</v>
      </c>
      <c r="AO17" s="29">
        <f t="shared" si="3"/>
        <v>12</v>
      </c>
      <c r="AP17" s="238">
        <v>3</v>
      </c>
      <c r="AQ17" s="689"/>
      <c r="AR17" s="689"/>
      <c r="AS17" s="653"/>
      <c r="AT17" s="653"/>
      <c r="AU17" s="156"/>
      <c r="AV17" s="157"/>
      <c r="AW17" s="157"/>
      <c r="AX17" s="218"/>
      <c r="AY17" s="157"/>
      <c r="AZ17" s="218"/>
      <c r="BA17" s="157"/>
      <c r="BB17" s="203"/>
      <c r="BC17" s="157"/>
      <c r="BD17" s="157"/>
      <c r="BE17" s="157"/>
      <c r="BF17" s="157"/>
      <c r="BG17" s="157"/>
      <c r="BH17" s="157"/>
      <c r="BI17" s="156"/>
      <c r="BJ17" s="157"/>
      <c r="BK17" s="157"/>
      <c r="BL17" s="158"/>
      <c r="BM17" s="158"/>
      <c r="BN17" s="157"/>
      <c r="BO17" s="157"/>
      <c r="BP17" s="302"/>
      <c r="BQ17" s="157"/>
      <c r="BR17" s="157"/>
      <c r="BS17" s="158"/>
      <c r="BT17" s="157"/>
      <c r="BU17" s="299"/>
      <c r="BV17" s="157"/>
      <c r="BW17" s="157"/>
      <c r="BX17" s="157"/>
      <c r="BY17" s="156"/>
      <c r="BZ17" s="159"/>
      <c r="CA17" s="161"/>
      <c r="CB17" s="160"/>
      <c r="CC17" s="160"/>
    </row>
    <row r="18" spans="1:83" ht="21.75" customHeight="1">
      <c r="A18" s="19"/>
      <c r="B18" s="301">
        <v>12</v>
      </c>
      <c r="C18" s="682" t="s">
        <v>39</v>
      </c>
      <c r="D18" s="683"/>
      <c r="E18" s="698" t="s">
        <v>31</v>
      </c>
      <c r="F18" s="699"/>
      <c r="G18" s="557" t="s">
        <v>40</v>
      </c>
      <c r="H18" s="42" t="s">
        <v>2</v>
      </c>
      <c r="I18" s="42" t="s">
        <v>2</v>
      </c>
      <c r="J18" s="42" t="s">
        <v>2</v>
      </c>
      <c r="K18" s="68" t="s">
        <v>21</v>
      </c>
      <c r="L18" s="40" t="s">
        <v>2</v>
      </c>
      <c r="M18" s="40" t="s">
        <v>2</v>
      </c>
      <c r="N18" s="40" t="s">
        <v>2</v>
      </c>
      <c r="O18" s="59" t="s">
        <v>2</v>
      </c>
      <c r="P18" s="137" t="s">
        <v>21</v>
      </c>
      <c r="Q18" s="114" t="s">
        <v>21</v>
      </c>
      <c r="R18" s="68" t="s">
        <v>21</v>
      </c>
      <c r="S18" s="289" t="s">
        <v>21</v>
      </c>
      <c r="T18" s="81" t="s">
        <v>2</v>
      </c>
      <c r="U18" s="81" t="s">
        <v>2</v>
      </c>
      <c r="V18" s="169" t="s">
        <v>2</v>
      </c>
      <c r="W18" s="169" t="s">
        <v>2</v>
      </c>
      <c r="X18" s="316" t="s">
        <v>21</v>
      </c>
      <c r="Y18" s="110" t="s">
        <v>21</v>
      </c>
      <c r="Z18" s="71" t="s">
        <v>2</v>
      </c>
      <c r="AA18" s="111" t="s">
        <v>40</v>
      </c>
      <c r="AB18" s="42" t="s">
        <v>2</v>
      </c>
      <c r="AC18" s="71" t="s">
        <v>2</v>
      </c>
      <c r="AD18" s="42" t="s">
        <v>2</v>
      </c>
      <c r="AE18" s="71" t="s">
        <v>2</v>
      </c>
      <c r="AF18" s="68" t="s">
        <v>21</v>
      </c>
      <c r="AG18" s="59" t="s">
        <v>2</v>
      </c>
      <c r="AH18" s="57" t="s">
        <v>21</v>
      </c>
      <c r="AI18" s="40" t="s">
        <v>2</v>
      </c>
      <c r="AJ18" s="40" t="s">
        <v>2</v>
      </c>
      <c r="AK18" s="40" t="s">
        <v>2</v>
      </c>
      <c r="AL18" s="30">
        <f t="shared" si="0"/>
        <v>2</v>
      </c>
      <c r="AM18" s="25">
        <f t="shared" si="1"/>
        <v>20</v>
      </c>
      <c r="AN18" s="26">
        <f t="shared" si="2"/>
        <v>9</v>
      </c>
      <c r="AO18" s="29">
        <f t="shared" si="3"/>
        <v>11</v>
      </c>
      <c r="AP18" s="238">
        <v>3</v>
      </c>
      <c r="AQ18" s="689"/>
      <c r="AR18" s="689"/>
      <c r="AS18" s="653"/>
      <c r="AT18" s="653"/>
      <c r="AU18" s="156"/>
      <c r="AV18" s="157"/>
      <c r="AW18" s="157"/>
      <c r="AX18" s="158"/>
      <c r="AY18" s="156"/>
      <c r="AZ18" s="156"/>
      <c r="BA18" s="156"/>
      <c r="BB18" s="156"/>
      <c r="BC18" s="157"/>
      <c r="BD18" s="206"/>
      <c r="BE18" s="206"/>
      <c r="BF18" s="218"/>
      <c r="BG18" s="206"/>
      <c r="BH18" s="16"/>
      <c r="BI18" s="156"/>
      <c r="BJ18" s="157"/>
      <c r="BK18" s="206"/>
      <c r="BL18" s="218"/>
      <c r="BM18" s="218"/>
      <c r="BN18" s="218"/>
      <c r="BO18" s="206"/>
      <c r="BP18" s="203"/>
      <c r="BQ18" s="157"/>
      <c r="BR18" s="206"/>
      <c r="BS18" s="218"/>
      <c r="BT18" s="218"/>
      <c r="BU18" s="306"/>
      <c r="BV18" s="218"/>
      <c r="BW18" s="203"/>
      <c r="BX18" s="157"/>
      <c r="BY18" s="157"/>
      <c r="BZ18" s="159"/>
      <c r="CA18" s="161"/>
      <c r="CB18" s="160"/>
      <c r="CC18" s="160"/>
    </row>
    <row r="19" spans="1:83" ht="22" customHeight="1">
      <c r="A19" s="19"/>
      <c r="B19" s="301">
        <v>13</v>
      </c>
      <c r="C19" s="690" t="s">
        <v>38</v>
      </c>
      <c r="D19" s="691"/>
      <c r="E19" s="686" t="s">
        <v>31</v>
      </c>
      <c r="F19" s="686"/>
      <c r="G19" s="70" t="s">
        <v>2</v>
      </c>
      <c r="H19" s="59" t="s">
        <v>2</v>
      </c>
      <c r="I19" s="111" t="s">
        <v>0</v>
      </c>
      <c r="J19" s="57" t="s">
        <v>1</v>
      </c>
      <c r="K19" s="89" t="s">
        <v>21</v>
      </c>
      <c r="L19" s="40" t="s">
        <v>2</v>
      </c>
      <c r="M19" s="40" t="s">
        <v>2</v>
      </c>
      <c r="N19" s="40" t="s">
        <v>2</v>
      </c>
      <c r="O19" s="57" t="s">
        <v>1</v>
      </c>
      <c r="P19" s="59" t="s">
        <v>2</v>
      </c>
      <c r="Q19" s="40" t="s">
        <v>2</v>
      </c>
      <c r="R19" s="89" t="s">
        <v>21</v>
      </c>
      <c r="S19" s="285" t="s">
        <v>2</v>
      </c>
      <c r="T19" s="40" t="s">
        <v>2</v>
      </c>
      <c r="U19" s="111" t="s">
        <v>0</v>
      </c>
      <c r="V19" s="40" t="s">
        <v>2</v>
      </c>
      <c r="W19" s="59" t="s">
        <v>2</v>
      </c>
      <c r="X19" s="272" t="s">
        <v>1</v>
      </c>
      <c r="Y19" s="74" t="s">
        <v>21</v>
      </c>
      <c r="Z19" s="59" t="s">
        <v>2</v>
      </c>
      <c r="AA19" s="59" t="s">
        <v>2</v>
      </c>
      <c r="AB19" s="111" t="s">
        <v>0</v>
      </c>
      <c r="AC19" s="40" t="s">
        <v>2</v>
      </c>
      <c r="AD19" s="59" t="s">
        <v>2</v>
      </c>
      <c r="AE19" s="137" t="s">
        <v>21</v>
      </c>
      <c r="AF19" s="89" t="s">
        <v>21</v>
      </c>
      <c r="AG19" s="137" t="s">
        <v>21</v>
      </c>
      <c r="AH19" s="59" t="s">
        <v>2</v>
      </c>
      <c r="AI19" s="59" t="s">
        <v>2</v>
      </c>
      <c r="AJ19" s="68" t="s">
        <v>2</v>
      </c>
      <c r="AK19" s="147" t="s">
        <v>2</v>
      </c>
      <c r="AL19" s="30">
        <f t="shared" si="0"/>
        <v>3</v>
      </c>
      <c r="AM19" s="25">
        <f t="shared" si="1"/>
        <v>19</v>
      </c>
      <c r="AN19" s="26">
        <f t="shared" si="2"/>
        <v>9</v>
      </c>
      <c r="AO19" s="29">
        <f t="shared" si="3"/>
        <v>12</v>
      </c>
      <c r="AP19" s="238">
        <v>3</v>
      </c>
      <c r="AQ19" s="303"/>
      <c r="AR19" s="692"/>
      <c r="AS19" s="692"/>
      <c r="AT19" s="693"/>
      <c r="AU19" s="693"/>
      <c r="AV19" s="158"/>
      <c r="AW19" s="157"/>
      <c r="AX19" s="157"/>
      <c r="AY19" s="158"/>
      <c r="AZ19" s="157"/>
      <c r="BA19" s="157"/>
      <c r="BB19" s="157"/>
      <c r="BC19" s="157"/>
      <c r="BD19" s="157"/>
      <c r="BE19" s="157"/>
      <c r="BF19" s="158"/>
      <c r="BG19" s="157"/>
      <c r="BH19" s="158"/>
      <c r="BI19" s="158"/>
      <c r="BJ19" s="158"/>
      <c r="BK19" s="157"/>
      <c r="BL19" s="158"/>
      <c r="BM19" s="157"/>
      <c r="BN19" s="157"/>
      <c r="BO19" s="304"/>
      <c r="BP19" s="157"/>
      <c r="BQ19" s="157"/>
      <c r="BR19" s="157"/>
      <c r="BS19" s="157"/>
      <c r="BT19" s="158"/>
      <c r="BU19" s="157"/>
      <c r="BV19" s="299"/>
      <c r="BW19" s="157"/>
      <c r="BX19" s="158"/>
      <c r="BY19" s="157"/>
      <c r="BZ19" s="158"/>
      <c r="CA19" s="305"/>
      <c r="CB19" s="161"/>
      <c r="CC19" s="161"/>
      <c r="CD19" s="161"/>
    </row>
    <row r="20" spans="1:83" ht="22" customHeight="1" thickBot="1">
      <c r="A20" s="19"/>
      <c r="B20" s="301">
        <v>14</v>
      </c>
      <c r="C20" s="684" t="s">
        <v>200</v>
      </c>
      <c r="D20" s="685"/>
      <c r="E20" s="694" t="s">
        <v>31</v>
      </c>
      <c r="F20" s="695"/>
      <c r="G20" s="58" t="s">
        <v>2</v>
      </c>
      <c r="H20" s="59" t="s">
        <v>2</v>
      </c>
      <c r="I20" s="59" t="s">
        <v>2</v>
      </c>
      <c r="J20" s="57" t="s">
        <v>1</v>
      </c>
      <c r="K20" s="89" t="s">
        <v>21</v>
      </c>
      <c r="L20" s="44" t="s">
        <v>2</v>
      </c>
      <c r="M20" s="248" t="s">
        <v>40</v>
      </c>
      <c r="N20" s="121" t="s">
        <v>2</v>
      </c>
      <c r="O20" s="121" t="s">
        <v>2</v>
      </c>
      <c r="P20" s="44" t="s">
        <v>2</v>
      </c>
      <c r="Q20" s="171" t="s">
        <v>21</v>
      </c>
      <c r="R20" s="89" t="s">
        <v>21</v>
      </c>
      <c r="S20" s="274" t="s">
        <v>2</v>
      </c>
      <c r="T20" s="275" t="s">
        <v>2</v>
      </c>
      <c r="U20" s="321" t="s">
        <v>2</v>
      </c>
      <c r="V20" s="321" t="s">
        <v>2</v>
      </c>
      <c r="W20" s="334" t="s">
        <v>21</v>
      </c>
      <c r="X20" s="282" t="s">
        <v>2</v>
      </c>
      <c r="Y20" s="74" t="s">
        <v>21</v>
      </c>
      <c r="Z20" s="40" t="s">
        <v>2</v>
      </c>
      <c r="AA20" s="40" t="s">
        <v>2</v>
      </c>
      <c r="AB20" s="40" t="s">
        <v>2</v>
      </c>
      <c r="AC20" s="57" t="s">
        <v>1</v>
      </c>
      <c r="AD20" s="59" t="s">
        <v>2</v>
      </c>
      <c r="AE20" s="111" t="s">
        <v>40</v>
      </c>
      <c r="AF20" s="89" t="s">
        <v>21</v>
      </c>
      <c r="AG20" s="44" t="s">
        <v>2</v>
      </c>
      <c r="AH20" s="121" t="s">
        <v>2</v>
      </c>
      <c r="AI20" s="121" t="s">
        <v>2</v>
      </c>
      <c r="AJ20" s="87" t="s">
        <v>2</v>
      </c>
      <c r="AK20" s="182" t="s">
        <v>21</v>
      </c>
      <c r="AL20" s="30">
        <f t="shared" si="0"/>
        <v>2</v>
      </c>
      <c r="AM20" s="25">
        <f t="shared" si="1"/>
        <v>20</v>
      </c>
      <c r="AN20" s="26">
        <f t="shared" si="2"/>
        <v>9</v>
      </c>
      <c r="AO20" s="29">
        <f t="shared" si="3"/>
        <v>11</v>
      </c>
      <c r="AP20" s="10">
        <v>3</v>
      </c>
      <c r="AQ20" s="689"/>
      <c r="AR20" s="689"/>
      <c r="AS20" s="653"/>
      <c r="AT20" s="653"/>
      <c r="AU20" s="304"/>
      <c r="AV20" s="158"/>
      <c r="AW20" s="158"/>
      <c r="AX20" s="158"/>
      <c r="AY20" s="157"/>
      <c r="AZ20" s="157"/>
      <c r="BA20" s="158"/>
      <c r="BB20" s="156"/>
      <c r="BC20" s="158"/>
      <c r="BD20" s="158"/>
      <c r="BE20" s="489"/>
      <c r="BF20" s="157"/>
      <c r="BG20" s="156"/>
      <c r="BH20" s="158"/>
      <c r="BI20" s="158"/>
      <c r="BJ20" s="489"/>
      <c r="BK20" s="157"/>
      <c r="BL20" s="158"/>
      <c r="BM20" s="157"/>
      <c r="BN20" s="158"/>
      <c r="BO20" s="158"/>
      <c r="BP20" s="203"/>
      <c r="BQ20" s="158"/>
      <c r="BR20" s="304"/>
      <c r="BS20" s="304"/>
      <c r="BT20" s="157"/>
      <c r="BU20" s="156"/>
      <c r="BV20" s="158"/>
      <c r="BW20" s="156"/>
      <c r="BX20" s="158"/>
      <c r="BY20" s="158"/>
      <c r="BZ20" s="159"/>
      <c r="CA20" s="161"/>
      <c r="CB20" s="160"/>
      <c r="CC20" s="160"/>
    </row>
    <row r="21" spans="1:83" ht="22" customHeight="1">
      <c r="A21" s="19">
        <v>5</v>
      </c>
      <c r="B21" s="301">
        <v>15</v>
      </c>
      <c r="C21" s="684" t="s">
        <v>26</v>
      </c>
      <c r="D21" s="685"/>
      <c r="E21" s="686" t="s">
        <v>31</v>
      </c>
      <c r="F21" s="686"/>
      <c r="G21" s="58" t="s">
        <v>2</v>
      </c>
      <c r="H21" s="59" t="s">
        <v>2</v>
      </c>
      <c r="I21" s="59" t="s">
        <v>2</v>
      </c>
      <c r="J21" s="57" t="s">
        <v>1</v>
      </c>
      <c r="K21" s="74" t="s">
        <v>1</v>
      </c>
      <c r="L21" s="270" t="s">
        <v>2</v>
      </c>
      <c r="M21" s="355" t="s">
        <v>40</v>
      </c>
      <c r="N21" s="169" t="s">
        <v>2</v>
      </c>
      <c r="O21" s="396" t="s">
        <v>2</v>
      </c>
      <c r="P21" s="396" t="s">
        <v>2</v>
      </c>
      <c r="Q21" s="316" t="s">
        <v>21</v>
      </c>
      <c r="R21" s="47" t="s">
        <v>1</v>
      </c>
      <c r="S21" s="71" t="s">
        <v>2</v>
      </c>
      <c r="T21" s="71" t="s">
        <v>2</v>
      </c>
      <c r="U21" s="40" t="s">
        <v>2</v>
      </c>
      <c r="V21" s="57" t="s">
        <v>1</v>
      </c>
      <c r="W21" s="71" t="s">
        <v>2</v>
      </c>
      <c r="X21" s="170" t="s">
        <v>21</v>
      </c>
      <c r="Y21" s="47" t="s">
        <v>1</v>
      </c>
      <c r="Z21" s="59" t="s">
        <v>2</v>
      </c>
      <c r="AA21" s="59" t="s">
        <v>2</v>
      </c>
      <c r="AB21" s="91" t="s">
        <v>40</v>
      </c>
      <c r="AC21" s="57" t="s">
        <v>1</v>
      </c>
      <c r="AD21" s="59" t="s">
        <v>2</v>
      </c>
      <c r="AE21" s="59" t="s">
        <v>2</v>
      </c>
      <c r="AF21" s="74" t="s">
        <v>1</v>
      </c>
      <c r="AG21" s="323" t="s">
        <v>2</v>
      </c>
      <c r="AH21" s="169" t="s">
        <v>2</v>
      </c>
      <c r="AI21" s="169" t="s">
        <v>2</v>
      </c>
      <c r="AJ21" s="358" t="s">
        <v>0</v>
      </c>
      <c r="AK21" s="271" t="s">
        <v>2</v>
      </c>
      <c r="AL21" s="268">
        <f t="shared" si="0"/>
        <v>3</v>
      </c>
      <c r="AM21" s="25">
        <f t="shared" si="1"/>
        <v>19</v>
      </c>
      <c r="AN21" s="26">
        <f t="shared" si="2"/>
        <v>9</v>
      </c>
      <c r="AO21" s="29">
        <f t="shared" si="3"/>
        <v>12</v>
      </c>
      <c r="AP21" s="10">
        <v>5</v>
      </c>
      <c r="AQ21" s="652"/>
      <c r="AR21" s="652"/>
      <c r="AS21" s="653"/>
      <c r="AT21" s="653"/>
      <c r="AU21" s="203"/>
      <c r="AV21" s="158"/>
      <c r="AW21" s="157"/>
      <c r="AX21" s="158"/>
      <c r="AY21" s="158"/>
      <c r="AZ21" s="157"/>
      <c r="BA21" s="157"/>
      <c r="BB21" s="203"/>
      <c r="BC21" s="158"/>
      <c r="BD21" s="157"/>
      <c r="BE21" s="156"/>
      <c r="BF21" s="158"/>
      <c r="BG21" s="158"/>
      <c r="BH21" s="157"/>
      <c r="BI21" s="158"/>
      <c r="BJ21" s="158"/>
      <c r="BK21" s="158"/>
      <c r="BL21" s="158"/>
      <c r="BM21" s="158"/>
      <c r="BN21" s="158"/>
      <c r="BO21" s="158"/>
      <c r="BP21" s="203"/>
      <c r="BQ21" s="158"/>
      <c r="BR21" s="157"/>
      <c r="BS21" s="158"/>
      <c r="BT21" s="158"/>
      <c r="BU21" s="158"/>
      <c r="BV21" s="156"/>
      <c r="BW21" s="158"/>
      <c r="BX21" s="158"/>
      <c r="BY21" s="156"/>
      <c r="BZ21" s="159"/>
      <c r="CA21" s="161"/>
      <c r="CB21" s="160"/>
      <c r="CC21" s="160"/>
    </row>
    <row r="22" spans="1:83" ht="22" customHeight="1">
      <c r="A22" s="19">
        <v>6</v>
      </c>
      <c r="B22" s="301">
        <v>16</v>
      </c>
      <c r="C22" s="687" t="s">
        <v>45</v>
      </c>
      <c r="D22" s="688"/>
      <c r="E22" s="686" t="s">
        <v>31</v>
      </c>
      <c r="F22" s="686"/>
      <c r="G22" s="70" t="s">
        <v>2</v>
      </c>
      <c r="H22" s="59" t="s">
        <v>2</v>
      </c>
      <c r="I22" s="91" t="s">
        <v>40</v>
      </c>
      <c r="J22" s="137" t="s">
        <v>21</v>
      </c>
      <c r="K22" s="110" t="s">
        <v>21</v>
      </c>
      <c r="L22" s="333" t="s">
        <v>21</v>
      </c>
      <c r="M22" s="40" t="s">
        <v>2</v>
      </c>
      <c r="N22" s="40" t="s">
        <v>2</v>
      </c>
      <c r="O22" s="391" t="s">
        <v>2</v>
      </c>
      <c r="P22" s="391" t="s">
        <v>2</v>
      </c>
      <c r="Q22" s="313" t="s">
        <v>2</v>
      </c>
      <c r="R22" s="64" t="s">
        <v>21</v>
      </c>
      <c r="S22" s="40" t="s">
        <v>2</v>
      </c>
      <c r="T22" s="57" t="s">
        <v>1</v>
      </c>
      <c r="U22" s="40" t="s">
        <v>2</v>
      </c>
      <c r="V22" s="40" t="s">
        <v>2</v>
      </c>
      <c r="W22" s="57" t="s">
        <v>1</v>
      </c>
      <c r="X22" s="91" t="s">
        <v>40</v>
      </c>
      <c r="Y22" s="64" t="s">
        <v>21</v>
      </c>
      <c r="Z22" s="91" t="s">
        <v>40</v>
      </c>
      <c r="AA22" s="40" t="s">
        <v>2</v>
      </c>
      <c r="AB22" s="40" t="s">
        <v>2</v>
      </c>
      <c r="AC22" s="59" t="s">
        <v>2</v>
      </c>
      <c r="AD22" s="40" t="s">
        <v>2</v>
      </c>
      <c r="AE22" s="59" t="s">
        <v>2</v>
      </c>
      <c r="AF22" s="110" t="s">
        <v>21</v>
      </c>
      <c r="AG22" s="285" t="s">
        <v>2</v>
      </c>
      <c r="AH22" s="57" t="s">
        <v>1</v>
      </c>
      <c r="AI22" s="40" t="s">
        <v>2</v>
      </c>
      <c r="AJ22" s="68" t="s">
        <v>2</v>
      </c>
      <c r="AK22" s="313" t="s">
        <v>2</v>
      </c>
      <c r="AL22" s="268">
        <f t="shared" si="0"/>
        <v>3</v>
      </c>
      <c r="AM22" s="25">
        <f t="shared" si="1"/>
        <v>19</v>
      </c>
      <c r="AN22" s="26">
        <f t="shared" si="2"/>
        <v>9</v>
      </c>
      <c r="AO22" s="29">
        <f t="shared" si="3"/>
        <v>12</v>
      </c>
      <c r="AP22" s="10">
        <v>4</v>
      </c>
      <c r="AQ22" s="689"/>
      <c r="AR22" s="689"/>
      <c r="AS22" s="653"/>
      <c r="AT22" s="653"/>
      <c r="AU22" s="304"/>
      <c r="AV22" s="158"/>
      <c r="AW22" s="158"/>
      <c r="AX22" s="158"/>
      <c r="AY22" s="157"/>
      <c r="AZ22" s="157"/>
      <c r="BA22" s="158"/>
      <c r="BB22" s="156"/>
      <c r="BC22" s="158"/>
      <c r="BD22" s="158"/>
      <c r="BE22" s="489"/>
      <c r="BF22" s="157"/>
      <c r="BG22" s="156"/>
      <c r="BH22" s="158"/>
      <c r="BI22" s="158"/>
      <c r="BJ22" s="489"/>
      <c r="BK22" s="157"/>
      <c r="BL22" s="158"/>
      <c r="BM22" s="157"/>
      <c r="BN22" s="158"/>
      <c r="BO22" s="158"/>
      <c r="BP22" s="203"/>
      <c r="BQ22" s="158"/>
      <c r="BR22" s="304"/>
      <c r="BS22" s="304"/>
      <c r="BT22" s="157"/>
      <c r="BU22" s="156"/>
      <c r="BV22" s="158"/>
      <c r="BW22" s="156"/>
      <c r="BX22" s="158"/>
      <c r="BY22" s="189"/>
    </row>
    <row r="23" spans="1:83" ht="22" customHeight="1">
      <c r="A23" s="19"/>
      <c r="B23" s="301">
        <v>17</v>
      </c>
      <c r="C23" s="682" t="s">
        <v>95</v>
      </c>
      <c r="D23" s="683"/>
      <c r="E23" s="673" t="s">
        <v>31</v>
      </c>
      <c r="F23" s="674"/>
      <c r="G23" s="58" t="s">
        <v>2</v>
      </c>
      <c r="H23" s="59" t="s">
        <v>2</v>
      </c>
      <c r="I23" s="59" t="s">
        <v>2</v>
      </c>
      <c r="J23" s="57" t="s">
        <v>1</v>
      </c>
      <c r="K23" s="74" t="s">
        <v>21</v>
      </c>
      <c r="L23" s="280" t="s">
        <v>2</v>
      </c>
      <c r="M23" s="121" t="s">
        <v>2</v>
      </c>
      <c r="N23" s="121" t="s">
        <v>2</v>
      </c>
      <c r="O23" s="40" t="s">
        <v>2</v>
      </c>
      <c r="P23" s="59" t="s">
        <v>2</v>
      </c>
      <c r="Q23" s="382" t="s">
        <v>21</v>
      </c>
      <c r="R23" s="47" t="s">
        <v>21</v>
      </c>
      <c r="S23" s="137" t="s">
        <v>21</v>
      </c>
      <c r="T23" s="59" t="s">
        <v>2</v>
      </c>
      <c r="U23" s="40" t="s">
        <v>2</v>
      </c>
      <c r="V23" s="40" t="s">
        <v>2</v>
      </c>
      <c r="W23" s="114" t="s">
        <v>21</v>
      </c>
      <c r="X23" s="40" t="s">
        <v>2</v>
      </c>
      <c r="Y23" s="47" t="s">
        <v>21</v>
      </c>
      <c r="Z23" s="40" t="s">
        <v>2</v>
      </c>
      <c r="AA23" s="59" t="s">
        <v>2</v>
      </c>
      <c r="AB23" s="40" t="s">
        <v>2</v>
      </c>
      <c r="AC23" s="59" t="s">
        <v>2</v>
      </c>
      <c r="AD23" s="111" t="s">
        <v>40</v>
      </c>
      <c r="AE23" s="57" t="s">
        <v>21</v>
      </c>
      <c r="AF23" s="74" t="s">
        <v>21</v>
      </c>
      <c r="AG23" s="285" t="s">
        <v>2</v>
      </c>
      <c r="AH23" s="59" t="s">
        <v>2</v>
      </c>
      <c r="AI23" s="119" t="s">
        <v>56</v>
      </c>
      <c r="AJ23" s="89" t="s">
        <v>2</v>
      </c>
      <c r="AK23" s="284" t="s">
        <v>2</v>
      </c>
      <c r="AL23" s="268">
        <f t="shared" si="0"/>
        <v>1</v>
      </c>
      <c r="AM23" s="25">
        <f t="shared" si="1"/>
        <v>20</v>
      </c>
      <c r="AN23" s="26">
        <f t="shared" si="2"/>
        <v>9</v>
      </c>
      <c r="AO23" s="29">
        <f t="shared" si="3"/>
        <v>10</v>
      </c>
      <c r="AP23" s="238" t="s">
        <v>618</v>
      </c>
      <c r="AR23" s="96"/>
      <c r="AS23" s="96"/>
    </row>
    <row r="24" spans="1:83" ht="22" customHeight="1" thickBot="1">
      <c r="A24" s="19"/>
      <c r="B24" s="54">
        <v>18</v>
      </c>
      <c r="C24" s="675" t="s">
        <v>48</v>
      </c>
      <c r="D24" s="676"/>
      <c r="E24" s="677" t="s">
        <v>31</v>
      </c>
      <c r="F24" s="677"/>
      <c r="G24" s="142" t="s">
        <v>2</v>
      </c>
      <c r="H24" s="196" t="s">
        <v>40</v>
      </c>
      <c r="I24" s="43" t="s">
        <v>2</v>
      </c>
      <c r="J24" s="43" t="s">
        <v>2</v>
      </c>
      <c r="K24" s="363" t="s">
        <v>1</v>
      </c>
      <c r="L24" s="274" t="s">
        <v>2</v>
      </c>
      <c r="M24" s="367" t="s">
        <v>2</v>
      </c>
      <c r="N24" s="327" t="s">
        <v>40</v>
      </c>
      <c r="O24" s="385" t="s">
        <v>21</v>
      </c>
      <c r="P24" s="385" t="s">
        <v>21</v>
      </c>
      <c r="Q24" s="282" t="s">
        <v>2</v>
      </c>
      <c r="R24" s="102" t="s">
        <v>1</v>
      </c>
      <c r="S24" s="43" t="s">
        <v>2</v>
      </c>
      <c r="T24" s="43" t="s">
        <v>2</v>
      </c>
      <c r="U24" s="43" t="s">
        <v>2</v>
      </c>
      <c r="V24" s="43" t="s">
        <v>2</v>
      </c>
      <c r="W24" s="93" t="s">
        <v>2</v>
      </c>
      <c r="X24" s="50" t="s">
        <v>21</v>
      </c>
      <c r="Y24" s="102" t="s">
        <v>1</v>
      </c>
      <c r="Z24" s="43" t="s">
        <v>2</v>
      </c>
      <c r="AA24" s="196" t="s">
        <v>40</v>
      </c>
      <c r="AB24" s="43" t="s">
        <v>2</v>
      </c>
      <c r="AC24" s="43" t="s">
        <v>2</v>
      </c>
      <c r="AD24" s="43" t="s">
        <v>2</v>
      </c>
      <c r="AE24" s="50" t="s">
        <v>21</v>
      </c>
      <c r="AF24" s="363" t="s">
        <v>1</v>
      </c>
      <c r="AG24" s="314" t="s">
        <v>40</v>
      </c>
      <c r="AH24" s="321" t="s">
        <v>2</v>
      </c>
      <c r="AI24" s="331" t="s">
        <v>2</v>
      </c>
      <c r="AJ24" s="551" t="s">
        <v>2</v>
      </c>
      <c r="AK24" s="288" t="s">
        <v>21</v>
      </c>
      <c r="AL24" s="369">
        <f t="shared" si="0"/>
        <v>4</v>
      </c>
      <c r="AM24" s="260">
        <f t="shared" si="1"/>
        <v>18</v>
      </c>
      <c r="AN24" s="32">
        <f t="shared" si="2"/>
        <v>9</v>
      </c>
      <c r="AO24" s="29">
        <f t="shared" si="3"/>
        <v>13</v>
      </c>
      <c r="AP24" s="10">
        <v>4</v>
      </c>
      <c r="AR24" s="300"/>
      <c r="AS24" s="652"/>
      <c r="AT24" s="652"/>
      <c r="AU24" s="653"/>
      <c r="AV24" s="653"/>
      <c r="AW24" s="203"/>
      <c r="AX24" s="157"/>
      <c r="AY24" s="157"/>
      <c r="AZ24" s="298"/>
      <c r="BA24" s="157"/>
      <c r="BB24" s="156"/>
      <c r="BC24" s="157"/>
      <c r="BD24" s="157"/>
      <c r="BE24" s="157"/>
      <c r="BF24" s="204"/>
      <c r="BG24" s="157"/>
      <c r="BH24" s="157"/>
      <c r="BI24" s="298"/>
      <c r="BJ24" s="157"/>
      <c r="BK24" s="157"/>
      <c r="BL24" s="157"/>
      <c r="BM24" s="204"/>
      <c r="BN24" s="156"/>
      <c r="BO24" s="157"/>
      <c r="BP24" s="157"/>
      <c r="BQ24" s="157"/>
      <c r="BR24" s="203"/>
      <c r="BS24" s="157"/>
      <c r="BT24" s="157"/>
      <c r="BU24" s="158"/>
      <c r="BV24" s="157"/>
      <c r="BW24" s="299"/>
      <c r="BX24" s="157"/>
      <c r="BY24" s="157"/>
      <c r="BZ24" s="157"/>
      <c r="CA24" s="157"/>
      <c r="CB24" s="159"/>
      <c r="CC24" s="161"/>
      <c r="CD24" s="160"/>
      <c r="CE24" s="160"/>
    </row>
    <row r="25" spans="1:83" ht="22" customHeight="1">
      <c r="A25" s="19"/>
      <c r="B25" s="416">
        <v>19</v>
      </c>
      <c r="C25" s="678" t="s">
        <v>197</v>
      </c>
      <c r="D25" s="679"/>
      <c r="E25" s="680" t="s">
        <v>94</v>
      </c>
      <c r="F25" s="681"/>
      <c r="G25" s="348" t="s">
        <v>2</v>
      </c>
      <c r="H25" s="49" t="s">
        <v>2</v>
      </c>
      <c r="I25" s="49" t="s">
        <v>2</v>
      </c>
      <c r="J25" s="104" t="s">
        <v>21</v>
      </c>
      <c r="K25" s="290" t="s">
        <v>21</v>
      </c>
      <c r="L25" s="49" t="s">
        <v>2</v>
      </c>
      <c r="M25" s="115" t="s">
        <v>2</v>
      </c>
      <c r="N25" s="555" t="s">
        <v>2</v>
      </c>
      <c r="O25" s="49" t="s">
        <v>2</v>
      </c>
      <c r="P25" s="518" t="s">
        <v>40</v>
      </c>
      <c r="Q25" s="104" t="s">
        <v>21</v>
      </c>
      <c r="R25" s="290" t="s">
        <v>21</v>
      </c>
      <c r="S25" s="49" t="s">
        <v>2</v>
      </c>
      <c r="T25" s="115" t="s">
        <v>2</v>
      </c>
      <c r="U25" s="115" t="s">
        <v>2</v>
      </c>
      <c r="V25" s="49" t="s">
        <v>2</v>
      </c>
      <c r="W25" s="216" t="s">
        <v>21</v>
      </c>
      <c r="X25" s="104" t="s">
        <v>21</v>
      </c>
      <c r="Y25" s="290" t="s">
        <v>21</v>
      </c>
      <c r="Z25" s="138" t="s">
        <v>0</v>
      </c>
      <c r="AA25" s="115" t="s">
        <v>2</v>
      </c>
      <c r="AB25" s="115" t="s">
        <v>2</v>
      </c>
      <c r="AC25" s="123" t="s">
        <v>2</v>
      </c>
      <c r="AD25" s="115" t="s">
        <v>2</v>
      </c>
      <c r="AE25" s="104" t="s">
        <v>21</v>
      </c>
      <c r="AF25" s="290" t="s">
        <v>21</v>
      </c>
      <c r="AG25" s="49" t="s">
        <v>2</v>
      </c>
      <c r="AH25" s="115" t="s">
        <v>2</v>
      </c>
      <c r="AI25" s="138" t="s">
        <v>40</v>
      </c>
      <c r="AJ25" s="123" t="s">
        <v>2</v>
      </c>
      <c r="AK25" s="554" t="s">
        <v>2</v>
      </c>
      <c r="AL25" s="532">
        <f t="shared" si="0"/>
        <v>3</v>
      </c>
      <c r="AM25" s="533">
        <f t="shared" si="1"/>
        <v>19</v>
      </c>
      <c r="AN25" s="534">
        <f t="shared" si="2"/>
        <v>9</v>
      </c>
      <c r="AO25" s="535">
        <f t="shared" si="3"/>
        <v>12</v>
      </c>
      <c r="AP25" s="10"/>
      <c r="AR25" s="652"/>
      <c r="AS25" s="652"/>
      <c r="AT25" s="653"/>
      <c r="AU25" s="653"/>
      <c r="AV25" s="203"/>
      <c r="AW25" s="157"/>
      <c r="AX25" s="157"/>
      <c r="AY25" s="298"/>
      <c r="AZ25" s="157"/>
      <c r="BA25" s="156"/>
      <c r="BB25" s="157"/>
      <c r="BC25" s="203"/>
      <c r="BD25" s="157"/>
      <c r="BE25" s="204"/>
      <c r="BF25" s="298"/>
      <c r="BG25" s="157"/>
      <c r="BH25" s="158"/>
      <c r="BI25" s="157"/>
      <c r="BJ25" s="298"/>
      <c r="BK25" s="157"/>
      <c r="BL25" s="204"/>
      <c r="BM25" s="156"/>
      <c r="BN25" s="157"/>
      <c r="BO25" s="298"/>
      <c r="BP25" s="157"/>
      <c r="BQ25" s="156"/>
      <c r="BR25" s="157"/>
      <c r="BS25" s="157"/>
      <c r="BT25" s="156"/>
      <c r="BU25" s="157"/>
      <c r="BV25" s="299"/>
      <c r="BW25" s="157"/>
      <c r="BX25" s="203"/>
      <c r="BY25" s="157"/>
      <c r="BZ25" s="157"/>
      <c r="CA25" s="159"/>
      <c r="CB25" s="161"/>
      <c r="CC25" s="160"/>
      <c r="CD25" s="160"/>
    </row>
    <row r="26" spans="1:83" ht="22.5" customHeight="1">
      <c r="A26" s="659"/>
      <c r="B26" s="660" t="s">
        <v>3</v>
      </c>
      <c r="C26" s="661"/>
      <c r="D26" s="661"/>
      <c r="E26" s="662"/>
      <c r="F26" s="552" t="s">
        <v>2</v>
      </c>
      <c r="G26" s="461">
        <f t="shared" ref="G26:AG26" si="4">COUNTIF(G6:G25,"D")</f>
        <v>15</v>
      </c>
      <c r="H26" s="60">
        <f t="shared" si="4"/>
        <v>17</v>
      </c>
      <c r="I26" s="60">
        <f t="shared" si="4"/>
        <v>15</v>
      </c>
      <c r="J26" s="60">
        <f t="shared" si="4"/>
        <v>7</v>
      </c>
      <c r="K26" s="60">
        <f t="shared" si="4"/>
        <v>0</v>
      </c>
      <c r="L26" s="60">
        <f t="shared" si="4"/>
        <v>16</v>
      </c>
      <c r="M26" s="60">
        <f t="shared" si="4"/>
        <v>15</v>
      </c>
      <c r="N26" s="60">
        <f t="shared" si="4"/>
        <v>15</v>
      </c>
      <c r="O26" s="60">
        <f t="shared" si="4"/>
        <v>14</v>
      </c>
      <c r="P26" s="60">
        <f t="shared" si="4"/>
        <v>15</v>
      </c>
      <c r="Q26" s="60">
        <f t="shared" si="4"/>
        <v>6</v>
      </c>
      <c r="R26" s="60">
        <f t="shared" si="4"/>
        <v>0</v>
      </c>
      <c r="S26" s="60">
        <f t="shared" si="4"/>
        <v>14</v>
      </c>
      <c r="T26" s="60">
        <f t="shared" si="4"/>
        <v>17</v>
      </c>
      <c r="U26" s="60">
        <f t="shared" si="4"/>
        <v>17</v>
      </c>
      <c r="V26" s="60">
        <f t="shared" si="4"/>
        <v>15</v>
      </c>
      <c r="W26" s="60">
        <f t="shared" si="4"/>
        <v>10</v>
      </c>
      <c r="X26" s="60">
        <f t="shared" si="4"/>
        <v>6</v>
      </c>
      <c r="Y26" s="60">
        <f t="shared" si="4"/>
        <v>0</v>
      </c>
      <c r="Z26" s="60">
        <f t="shared" si="4"/>
        <v>16</v>
      </c>
      <c r="AA26" s="60">
        <f t="shared" si="4"/>
        <v>15</v>
      </c>
      <c r="AB26" s="60">
        <f t="shared" si="4"/>
        <v>15</v>
      </c>
      <c r="AC26" s="60">
        <f t="shared" si="4"/>
        <v>16</v>
      </c>
      <c r="AD26" s="60">
        <f t="shared" si="4"/>
        <v>16</v>
      </c>
      <c r="AE26" s="60">
        <f t="shared" si="4"/>
        <v>6</v>
      </c>
      <c r="AF26" s="60">
        <f t="shared" si="4"/>
        <v>0</v>
      </c>
      <c r="AG26" s="60">
        <f t="shared" si="4"/>
        <v>17</v>
      </c>
      <c r="AH26" s="559" t="s">
        <v>75</v>
      </c>
      <c r="AI26" s="559" t="s">
        <v>77</v>
      </c>
      <c r="AJ26" s="559" t="s">
        <v>75</v>
      </c>
      <c r="AK26" s="558">
        <f>COUNTIF(AK6:AK25,"D")</f>
        <v>15</v>
      </c>
      <c r="AL26" s="307">
        <f t="shared" si="0"/>
        <v>0</v>
      </c>
      <c r="AM26" s="293">
        <f t="shared" si="1"/>
        <v>0</v>
      </c>
      <c r="AN26" s="294">
        <f t="shared" si="2"/>
        <v>0</v>
      </c>
      <c r="AO26" s="295">
        <f t="shared" si="3"/>
        <v>0</v>
      </c>
      <c r="AP26" s="10"/>
    </row>
    <row r="27" spans="1:83" ht="22.5" customHeight="1">
      <c r="A27" s="659"/>
      <c r="B27" s="663" t="s">
        <v>4</v>
      </c>
      <c r="C27" s="664"/>
      <c r="D27" s="664"/>
      <c r="E27" s="665"/>
      <c r="F27" s="2" t="s">
        <v>1</v>
      </c>
      <c r="G27" s="14">
        <f t="shared" ref="G27:AK27" si="5">COUNTIF(G6:G25,"●")</f>
        <v>3</v>
      </c>
      <c r="H27" s="14">
        <f t="shared" si="5"/>
        <v>1</v>
      </c>
      <c r="I27" s="14">
        <f t="shared" si="5"/>
        <v>2</v>
      </c>
      <c r="J27" s="14">
        <f t="shared" si="5"/>
        <v>12</v>
      </c>
      <c r="K27" s="14">
        <f t="shared" si="5"/>
        <v>20</v>
      </c>
      <c r="L27" s="14">
        <f t="shared" si="5"/>
        <v>1</v>
      </c>
      <c r="M27" s="14">
        <f t="shared" si="5"/>
        <v>2</v>
      </c>
      <c r="N27" s="14">
        <f t="shared" si="5"/>
        <v>0</v>
      </c>
      <c r="O27" s="14">
        <f t="shared" si="5"/>
        <v>5</v>
      </c>
      <c r="P27" s="14">
        <f t="shared" si="5"/>
        <v>2</v>
      </c>
      <c r="Q27" s="14">
        <f t="shared" si="5"/>
        <v>13</v>
      </c>
      <c r="R27" s="14">
        <f t="shared" si="5"/>
        <v>20</v>
      </c>
      <c r="S27" s="14">
        <f t="shared" si="5"/>
        <v>2</v>
      </c>
      <c r="T27" s="14">
        <f t="shared" si="5"/>
        <v>1</v>
      </c>
      <c r="U27" s="14">
        <f t="shared" si="5"/>
        <v>0</v>
      </c>
      <c r="V27" s="14">
        <f t="shared" si="5"/>
        <v>3</v>
      </c>
      <c r="W27" s="14">
        <f t="shared" si="5"/>
        <v>9</v>
      </c>
      <c r="X27" s="14">
        <f t="shared" si="5"/>
        <v>12</v>
      </c>
      <c r="Y27" s="14">
        <f t="shared" si="5"/>
        <v>20</v>
      </c>
      <c r="Z27" s="14">
        <f t="shared" si="5"/>
        <v>1</v>
      </c>
      <c r="AA27" s="14">
        <f t="shared" si="5"/>
        <v>1</v>
      </c>
      <c r="AB27" s="14">
        <f t="shared" si="5"/>
        <v>1</v>
      </c>
      <c r="AC27" s="14">
        <f t="shared" si="5"/>
        <v>2</v>
      </c>
      <c r="AD27" s="14">
        <f t="shared" si="5"/>
        <v>2</v>
      </c>
      <c r="AE27" s="14">
        <f t="shared" si="5"/>
        <v>12</v>
      </c>
      <c r="AF27" s="14">
        <f t="shared" si="5"/>
        <v>20</v>
      </c>
      <c r="AG27" s="14">
        <f t="shared" si="5"/>
        <v>1</v>
      </c>
      <c r="AH27" s="14">
        <f t="shared" si="5"/>
        <v>3</v>
      </c>
      <c r="AI27" s="14">
        <f t="shared" si="5"/>
        <v>1</v>
      </c>
      <c r="AJ27" s="14">
        <f t="shared" si="5"/>
        <v>1</v>
      </c>
      <c r="AK27" s="14">
        <f t="shared" si="5"/>
        <v>2</v>
      </c>
      <c r="AL27" s="666" t="s">
        <v>619</v>
      </c>
      <c r="AM27" s="667"/>
      <c r="AN27" s="667"/>
      <c r="AO27" s="668"/>
      <c r="AP27" s="10"/>
    </row>
    <row r="28" spans="1:83" ht="22.5" customHeight="1" thickBot="1">
      <c r="A28" s="669"/>
      <c r="B28" s="670" t="s">
        <v>5</v>
      </c>
      <c r="C28" s="671"/>
      <c r="D28" s="671"/>
      <c r="E28" s="672"/>
      <c r="F28" s="3" t="s">
        <v>0</v>
      </c>
      <c r="G28" s="14">
        <f t="shared" ref="G28:AG28" si="6">COUNTIF(G6:G25,"▲")</f>
        <v>1</v>
      </c>
      <c r="H28" s="14">
        <f t="shared" si="6"/>
        <v>1</v>
      </c>
      <c r="I28" s="14">
        <f t="shared" si="6"/>
        <v>2</v>
      </c>
      <c r="J28" s="14">
        <f t="shared" si="6"/>
        <v>0</v>
      </c>
      <c r="K28" s="14">
        <f t="shared" si="6"/>
        <v>0</v>
      </c>
      <c r="L28" s="14">
        <f t="shared" si="6"/>
        <v>2</v>
      </c>
      <c r="M28" s="14">
        <f t="shared" si="6"/>
        <v>2</v>
      </c>
      <c r="N28" s="14">
        <f t="shared" si="6"/>
        <v>4</v>
      </c>
      <c r="O28" s="14">
        <f t="shared" si="6"/>
        <v>0</v>
      </c>
      <c r="P28" s="14">
        <f t="shared" si="6"/>
        <v>2</v>
      </c>
      <c r="Q28" s="14">
        <f t="shared" si="6"/>
        <v>0</v>
      </c>
      <c r="R28" s="14">
        <f t="shared" si="6"/>
        <v>0</v>
      </c>
      <c r="S28" s="14">
        <f t="shared" si="6"/>
        <v>3</v>
      </c>
      <c r="T28" s="14">
        <f t="shared" si="6"/>
        <v>1</v>
      </c>
      <c r="U28" s="14">
        <f t="shared" si="6"/>
        <v>2</v>
      </c>
      <c r="V28" s="14">
        <f t="shared" si="6"/>
        <v>1</v>
      </c>
      <c r="W28" s="14">
        <f t="shared" si="6"/>
        <v>0</v>
      </c>
      <c r="X28" s="14">
        <f t="shared" si="6"/>
        <v>1</v>
      </c>
      <c r="Y28" s="14">
        <f t="shared" si="6"/>
        <v>0</v>
      </c>
      <c r="Z28" s="14">
        <f t="shared" si="6"/>
        <v>2</v>
      </c>
      <c r="AA28" s="14">
        <f t="shared" si="6"/>
        <v>3</v>
      </c>
      <c r="AB28" s="14">
        <f t="shared" si="6"/>
        <v>3</v>
      </c>
      <c r="AC28" s="14">
        <f t="shared" si="6"/>
        <v>1</v>
      </c>
      <c r="AD28" s="14">
        <f t="shared" si="6"/>
        <v>1</v>
      </c>
      <c r="AE28" s="14">
        <f t="shared" si="6"/>
        <v>1</v>
      </c>
      <c r="AF28" s="14">
        <f t="shared" si="6"/>
        <v>0</v>
      </c>
      <c r="AG28" s="14">
        <f t="shared" si="6"/>
        <v>1</v>
      </c>
      <c r="AH28" s="345" t="s">
        <v>82</v>
      </c>
      <c r="AI28" s="345" t="s">
        <v>65</v>
      </c>
      <c r="AJ28" s="345" t="s">
        <v>84</v>
      </c>
      <c r="AK28" s="14">
        <f>COUNTIF(AK6:AK25,"▲")</f>
        <v>2</v>
      </c>
      <c r="AL28" s="52" t="s">
        <v>19</v>
      </c>
      <c r="AM28" s="649" t="s">
        <v>17</v>
      </c>
      <c r="AN28" s="650"/>
      <c r="AO28" s="651"/>
      <c r="AP28" s="10"/>
    </row>
    <row r="29" spans="1:83" ht="22.5" customHeight="1" thickTop="1" thickBot="1">
      <c r="A29" s="669"/>
      <c r="B29" s="654"/>
      <c r="C29" s="654"/>
      <c r="D29" s="654"/>
      <c r="E29" s="654"/>
      <c r="F29" s="654"/>
      <c r="G29" s="286"/>
      <c r="H29" s="651" t="s">
        <v>93</v>
      </c>
      <c r="I29" s="655"/>
      <c r="J29" s="655"/>
      <c r="K29" s="3" t="s">
        <v>0</v>
      </c>
      <c r="L29" s="649" t="s">
        <v>5</v>
      </c>
      <c r="M29" s="651"/>
      <c r="N29" s="5" t="s">
        <v>68</v>
      </c>
      <c r="O29" s="656" t="s">
        <v>177</v>
      </c>
      <c r="P29" s="657"/>
      <c r="Q29" s="658"/>
      <c r="R29" s="5" t="s">
        <v>91</v>
      </c>
      <c r="S29" s="656" t="s">
        <v>179</v>
      </c>
      <c r="T29" s="657"/>
      <c r="U29" s="658"/>
      <c r="V29" s="6" t="s">
        <v>56</v>
      </c>
      <c r="W29" s="644" t="s">
        <v>178</v>
      </c>
      <c r="X29" s="645"/>
      <c r="Y29" s="645"/>
      <c r="Z29" s="6" t="s">
        <v>83</v>
      </c>
      <c r="AA29" s="644" t="s">
        <v>180</v>
      </c>
      <c r="AB29" s="645"/>
      <c r="AC29" s="645"/>
      <c r="AD29" s="152" t="s">
        <v>1</v>
      </c>
      <c r="AE29" s="646" t="s">
        <v>175</v>
      </c>
      <c r="AF29" s="647"/>
      <c r="AG29" s="648"/>
      <c r="AH29" s="513" t="s">
        <v>1</v>
      </c>
      <c r="AI29" s="649" t="s">
        <v>4</v>
      </c>
      <c r="AJ29" s="650"/>
      <c r="AK29" s="651"/>
      <c r="AL29" s="13" t="s">
        <v>20</v>
      </c>
      <c r="AM29" s="649" t="s">
        <v>18</v>
      </c>
      <c r="AN29" s="650"/>
      <c r="AO29" s="651"/>
      <c r="AP29" s="10"/>
    </row>
    <row r="30" spans="1:83" customFormat="1" ht="19" thickTop="1">
      <c r="B30" s="8"/>
      <c r="C30" s="652"/>
      <c r="D30" s="652"/>
      <c r="E30" s="653"/>
      <c r="F30" s="653"/>
      <c r="G30" s="156"/>
      <c r="H30" s="158"/>
      <c r="I30" s="157"/>
      <c r="J30" s="158"/>
      <c r="K30" s="158"/>
      <c r="L30" s="158"/>
      <c r="M30" s="158"/>
      <c r="N30" s="203"/>
      <c r="O30" s="158"/>
      <c r="P30" s="158"/>
      <c r="Q30" s="203"/>
      <c r="R30" s="157"/>
      <c r="S30" s="157"/>
      <c r="T30" s="158"/>
      <c r="U30" s="158"/>
      <c r="V30" s="158"/>
      <c r="W30" s="158"/>
      <c r="X30" s="157"/>
      <c r="Y30" s="157"/>
      <c r="Z30" s="157"/>
      <c r="AA30" s="158"/>
      <c r="AB30" s="203"/>
      <c r="AC30" s="158"/>
      <c r="AD30" s="158"/>
      <c r="AE30" s="203"/>
      <c r="AF30" s="157"/>
      <c r="AG30" s="158"/>
      <c r="AH30" s="158"/>
      <c r="AI30" s="157"/>
      <c r="AJ30" s="158"/>
      <c r="AK30" s="158"/>
      <c r="AN30" s="9"/>
      <c r="AO30" s="11"/>
    </row>
    <row r="31" spans="1:83" s="11" customFormat="1" ht="18">
      <c r="A31" s="1"/>
      <c r="B31" s="652"/>
      <c r="C31" s="652"/>
      <c r="D31" s="652"/>
      <c r="E31" s="652"/>
      <c r="F31" s="653"/>
      <c r="G31" s="653"/>
      <c r="H31" s="156"/>
      <c r="I31" s="158"/>
      <c r="J31" s="157"/>
      <c r="K31" s="158"/>
      <c r="L31" s="158"/>
      <c r="M31" s="157"/>
      <c r="N31" s="157"/>
      <c r="O31" s="203"/>
      <c r="P31" s="158"/>
      <c r="Q31" s="157"/>
      <c r="R31" s="157"/>
      <c r="S31" s="158"/>
      <c r="T31" s="158"/>
      <c r="U31" s="218"/>
      <c r="V31" s="158"/>
      <c r="W31" s="158"/>
      <c r="X31" s="158"/>
      <c r="Y31" s="158"/>
      <c r="Z31" s="156"/>
      <c r="AA31" s="158"/>
      <c r="AB31" s="158"/>
      <c r="AC31" s="158"/>
      <c r="AD31" s="158"/>
      <c r="AE31" s="157"/>
      <c r="AF31" s="158"/>
      <c r="AG31" s="156"/>
      <c r="AH31" s="158"/>
      <c r="AI31" s="158"/>
      <c r="AJ31" s="158"/>
      <c r="AK31" s="158"/>
      <c r="AL31" s="156"/>
      <c r="AM31" s="160"/>
      <c r="AN31" s="160"/>
      <c r="AP31" s="12"/>
      <c r="AQ31" s="1"/>
      <c r="AR31" s="1"/>
      <c r="AS31" s="1"/>
      <c r="AT31" s="1"/>
    </row>
    <row r="32" spans="1:83" s="11" customFormat="1">
      <c r="A32" s="1"/>
      <c r="B32" s="1"/>
      <c r="C32" s="1"/>
      <c r="D32" s="1"/>
      <c r="E32" s="1"/>
      <c r="F32" s="1"/>
      <c r="G32"/>
      <c r="H32" s="1"/>
      <c r="I32" s="1"/>
      <c r="J32" s="8"/>
      <c r="K32" s="8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7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9"/>
      <c r="AP32" s="12"/>
      <c r="AQ32" s="1"/>
      <c r="AR32" s="1"/>
      <c r="AS32" s="1"/>
      <c r="AT32" s="1"/>
    </row>
    <row r="33" spans="1:46" s="11" customFormat="1" ht="18">
      <c r="A33" s="1"/>
      <c r="B33" s="1"/>
      <c r="C33" s="1"/>
      <c r="D33" s="1"/>
      <c r="E33" s="1"/>
      <c r="F33" s="1"/>
      <c r="G33" s="17"/>
      <c r="H33" s="17"/>
      <c r="I33" s="17"/>
      <c r="J33" s="17"/>
      <c r="K33" s="15"/>
      <c r="L33" s="17"/>
      <c r="M33" s="17"/>
      <c r="N33" s="17"/>
      <c r="O33" s="17"/>
      <c r="P33" s="17"/>
      <c r="Q33" s="17"/>
      <c r="R33" s="15"/>
      <c r="S33" s="17"/>
      <c r="T33" s="16"/>
      <c r="U33" s="16"/>
      <c r="V33" s="16"/>
      <c r="W33" s="16"/>
      <c r="X33" s="16"/>
      <c r="Y33" s="15"/>
      <c r="Z33" s="16"/>
      <c r="AA33" s="16"/>
      <c r="AB33" s="16"/>
      <c r="AC33" s="16"/>
      <c r="AD33" s="16"/>
      <c r="AE33" s="16"/>
      <c r="AF33" s="15" t="s">
        <v>41</v>
      </c>
      <c r="AG33" s="16"/>
      <c r="AH33" s="16"/>
      <c r="AI33" s="16"/>
      <c r="AJ33" s="16"/>
      <c r="AK33" s="16"/>
      <c r="AL33" s="1"/>
      <c r="AM33" s="1"/>
      <c r="AN33" s="9"/>
      <c r="AP33" s="12"/>
      <c r="AQ33" s="1"/>
      <c r="AR33" s="1"/>
      <c r="AS33" s="1"/>
      <c r="AT33" s="1"/>
    </row>
    <row r="34" spans="1:46" s="11" customFormat="1">
      <c r="A34" s="1"/>
      <c r="B34" s="1"/>
      <c r="C34" s="1"/>
      <c r="D34" s="1"/>
      <c r="E34" s="1"/>
      <c r="F34" s="1"/>
      <c r="G34"/>
      <c r="H34" s="1"/>
      <c r="I34" s="1"/>
      <c r="J34" s="8"/>
      <c r="K34" s="8"/>
      <c r="L34" s="1"/>
      <c r="M34" t="s">
        <v>27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7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9"/>
      <c r="AP34" s="12"/>
      <c r="AQ34" s="1"/>
      <c r="AR34" s="1"/>
      <c r="AS34" s="1"/>
      <c r="AT34" s="1"/>
    </row>
    <row r="35" spans="1:46" s="11" customFormat="1">
      <c r="A35" s="1"/>
      <c r="B35" s="1"/>
      <c r="C35" s="1"/>
      <c r="D35" s="1"/>
      <c r="E35" s="1"/>
      <c r="F35" s="1"/>
      <c r="G35"/>
      <c r="H35" s="1"/>
      <c r="I35" s="1"/>
      <c r="J35" s="8"/>
      <c r="K35" s="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7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9"/>
      <c r="AP35" s="12"/>
      <c r="AQ35" s="1"/>
      <c r="AR35" s="1"/>
      <c r="AS35" s="1"/>
      <c r="AT35" s="1"/>
    </row>
    <row r="36" spans="1:46" s="11" customFormat="1">
      <c r="A36" s="1"/>
      <c r="B36" s="1"/>
      <c r="C36" s="1"/>
      <c r="D36" s="1"/>
      <c r="E36" s="1"/>
      <c r="F36" s="1"/>
      <c r="G36"/>
      <c r="H36" s="1"/>
      <c r="I36" s="1"/>
      <c r="J36" s="8"/>
      <c r="K36" s="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7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9"/>
      <c r="AP36" s="12"/>
      <c r="AQ36" s="1"/>
      <c r="AR36" s="1"/>
      <c r="AS36" s="1"/>
      <c r="AT36" s="1"/>
    </row>
    <row r="37" spans="1:46" s="11" customFormat="1">
      <c r="A37" s="1"/>
      <c r="B37" s="1"/>
      <c r="C37" s="1"/>
      <c r="D37" s="1"/>
      <c r="E37" s="1"/>
      <c r="F37" s="1"/>
      <c r="G37"/>
      <c r="H37" s="1"/>
      <c r="I37" s="1"/>
      <c r="J37" s="8"/>
      <c r="K37" s="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7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9"/>
      <c r="AP37" s="12"/>
      <c r="AQ37" s="1"/>
      <c r="AR37" s="1"/>
      <c r="AS37" s="1"/>
      <c r="AT37" s="1"/>
    </row>
    <row r="38" spans="1:46" s="11" customFormat="1">
      <c r="A38" s="1"/>
      <c r="B38" s="1"/>
      <c r="C38" s="1"/>
      <c r="D38" s="1"/>
      <c r="E38" s="1"/>
      <c r="F38" s="1"/>
      <c r="G38"/>
      <c r="H38" s="1"/>
      <c r="I38" s="1"/>
      <c r="J38" s="8"/>
      <c r="K38" s="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7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9"/>
      <c r="AP38" s="12"/>
      <c r="AQ38" s="1"/>
      <c r="AR38" s="1"/>
      <c r="AS38" s="1"/>
      <c r="AT38" s="1"/>
    </row>
    <row r="39" spans="1:46" s="11" customFormat="1">
      <c r="A39" s="1"/>
      <c r="B39" s="1"/>
      <c r="C39" s="1"/>
      <c r="D39" s="1"/>
      <c r="E39" s="1"/>
      <c r="F39" s="1"/>
      <c r="G39"/>
      <c r="H39" s="1"/>
      <c r="I39" s="1"/>
      <c r="J39" s="8"/>
      <c r="K39" s="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7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9"/>
      <c r="AP39" s="12"/>
      <c r="AQ39" s="1"/>
      <c r="AR39" s="1"/>
      <c r="AS39" s="1"/>
      <c r="AT39" s="1"/>
    </row>
    <row r="40" spans="1:46" s="11" customFormat="1">
      <c r="A40" s="1"/>
      <c r="B40" s="1"/>
      <c r="C40" s="1"/>
      <c r="D40" s="1"/>
      <c r="E40" s="1"/>
      <c r="F40" s="1"/>
      <c r="G40"/>
      <c r="H40" s="1"/>
      <c r="I40" s="1"/>
      <c r="J40" s="8"/>
      <c r="K40" s="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7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9"/>
      <c r="AP40" s="12"/>
      <c r="AQ40" s="1"/>
      <c r="AR40" s="1"/>
      <c r="AS40" s="1"/>
      <c r="AT40" s="1"/>
    </row>
    <row r="41" spans="1:46" s="11" customFormat="1">
      <c r="A41" s="1"/>
      <c r="B41" s="1"/>
      <c r="C41" s="1"/>
      <c r="D41" s="1"/>
      <c r="E41" s="1"/>
      <c r="F41" s="1"/>
      <c r="G41"/>
      <c r="H41" s="1"/>
      <c r="I41" s="1"/>
      <c r="J41" s="8"/>
      <c r="K41" s="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7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9"/>
      <c r="AP41" s="12"/>
      <c r="AQ41" s="1"/>
      <c r="AR41" s="1"/>
      <c r="AS41" s="1"/>
      <c r="AT41" s="1"/>
    </row>
    <row r="42" spans="1:46" s="11" customFormat="1">
      <c r="A42" s="1"/>
      <c r="B42" s="1"/>
      <c r="C42" s="1"/>
      <c r="D42" s="1"/>
      <c r="E42" s="1"/>
      <c r="F42" s="1"/>
      <c r="G42"/>
      <c r="H42" s="1"/>
      <c r="I42" s="1"/>
      <c r="J42" s="8"/>
      <c r="K42" s="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7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9"/>
      <c r="AP42" s="12"/>
      <c r="AQ42" s="1"/>
      <c r="AR42" s="1"/>
      <c r="AS42" s="1"/>
      <c r="AT42" s="1"/>
    </row>
    <row r="43" spans="1:46" s="11" customFormat="1">
      <c r="A43" s="1"/>
      <c r="B43" s="1"/>
      <c r="C43" s="1"/>
      <c r="D43" s="1"/>
      <c r="E43" s="1"/>
      <c r="F43" s="1"/>
      <c r="G43"/>
      <c r="H43" s="1"/>
      <c r="I43" s="1"/>
      <c r="J43" s="8"/>
      <c r="K43" s="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7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9"/>
      <c r="AP43" s="12"/>
      <c r="AQ43" s="1"/>
      <c r="AR43" s="1"/>
      <c r="AS43" s="1"/>
      <c r="AT43" s="1"/>
    </row>
    <row r="44" spans="1:46" s="11" customFormat="1">
      <c r="A44" s="1"/>
      <c r="B44" s="1"/>
      <c r="C44" s="1"/>
      <c r="D44" s="1"/>
      <c r="E44" s="1"/>
      <c r="F44" s="1"/>
      <c r="G44"/>
      <c r="H44" s="1"/>
      <c r="I44" s="1"/>
      <c r="J44" s="8"/>
      <c r="K44" s="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7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9"/>
      <c r="AP44" s="12"/>
      <c r="AQ44" s="1"/>
      <c r="AR44" s="1"/>
      <c r="AS44" s="1"/>
      <c r="AT44" s="1"/>
    </row>
    <row r="45" spans="1:46" s="11" customFormat="1">
      <c r="A45" s="1"/>
      <c r="B45" s="1"/>
      <c r="C45" s="1"/>
      <c r="D45" s="1"/>
      <c r="E45" s="1"/>
      <c r="F45" s="1"/>
      <c r="G45"/>
      <c r="H45" s="1"/>
      <c r="I45" s="1"/>
      <c r="J45" s="8"/>
      <c r="K45" s="8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7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9"/>
      <c r="AP45" s="12"/>
      <c r="AQ45" s="1"/>
      <c r="AR45" s="1"/>
      <c r="AS45" s="1"/>
      <c r="AT45" s="1"/>
    </row>
    <row r="46" spans="1:46" s="11" customFormat="1">
      <c r="A46" s="1"/>
      <c r="B46" s="1"/>
      <c r="C46" s="1"/>
      <c r="D46" s="1"/>
      <c r="E46" s="1"/>
      <c r="F46" s="1"/>
      <c r="G46"/>
      <c r="H46" s="1"/>
      <c r="I46" s="1"/>
      <c r="J46" s="8"/>
      <c r="K46" s="8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7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9"/>
      <c r="AP46" s="12"/>
      <c r="AQ46" s="1"/>
      <c r="AR46" s="1"/>
      <c r="AS46" s="1"/>
      <c r="AT46" s="1"/>
    </row>
    <row r="47" spans="1:46">
      <c r="Y47" s="1"/>
      <c r="AD47" s="1"/>
    </row>
    <row r="48" spans="1:46" ht="40">
      <c r="R48" s="125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543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527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8:AT18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AU24:AV24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B31:C31"/>
    <mergeCell ref="D31:E31"/>
    <mergeCell ref="F31:G31"/>
    <mergeCell ref="A28:A29"/>
    <mergeCell ref="B28:E28"/>
    <mergeCell ref="C30:D30"/>
    <mergeCell ref="E30:F30"/>
  </mergeCells>
  <phoneticPr fontId="2" type="noConversion"/>
  <conditionalFormatting sqref="AL6:AL26 BZ17:BZ18">
    <cfRule type="cellIs" dxfId="41" priority="9" operator="equal">
      <formula>8</formula>
    </cfRule>
    <cfRule type="cellIs" dxfId="40" priority="10" operator="equal">
      <formula>0</formula>
    </cfRule>
  </conditionalFormatting>
  <conditionalFormatting sqref="BZ20:BZ21">
    <cfRule type="cellIs" dxfId="39" priority="5" operator="equal">
      <formula>8</formula>
    </cfRule>
    <cfRule type="cellIs" dxfId="38" priority="6" operator="equal">
      <formula>0</formula>
    </cfRule>
  </conditionalFormatting>
  <conditionalFormatting sqref="CA19">
    <cfRule type="cellIs" dxfId="37" priority="1" operator="equal">
      <formula>8</formula>
    </cfRule>
    <cfRule type="cellIs" dxfId="36" priority="2" operator="equal">
      <formula>0</formula>
    </cfRule>
  </conditionalFormatting>
  <conditionalFormatting sqref="CA25">
    <cfRule type="cellIs" dxfId="35" priority="3" operator="equal">
      <formula>8</formula>
    </cfRule>
    <cfRule type="cellIs" dxfId="34" priority="4" operator="equal">
      <formula>0</formula>
    </cfRule>
  </conditionalFormatting>
  <conditionalFormatting sqref="CB24">
    <cfRule type="cellIs" dxfId="33" priority="7" operator="equal">
      <formula>8</formula>
    </cfRule>
    <cfRule type="cellIs" dxfId="32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DEEC0-F5CC-1544-A78D-1B683D4637D3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AK26" sqref="AK2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8" customWidth="1"/>
    <col min="12" max="24" width="3.6640625" style="1" customWidth="1"/>
    <col min="25" max="25" width="3.6640625" style="38" customWidth="1"/>
    <col min="26" max="28" width="3.6640625" style="1" customWidth="1"/>
    <col min="29" max="29" width="3.6640625" style="7" customWidth="1"/>
    <col min="30" max="30" width="3.6640625" style="41" customWidth="1"/>
    <col min="31" max="39" width="3.6640625" style="1" customWidth="1"/>
    <col min="40" max="40" width="8.6640625" style="9" customWidth="1"/>
    <col min="41" max="41" width="5.1640625" style="11" customWidth="1"/>
    <col min="42" max="42" width="9" style="12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18"/>
      <c r="B1" s="729" t="s">
        <v>621</v>
      </c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  <c r="AA1" s="729"/>
      <c r="AB1" s="729"/>
      <c r="AC1" s="729"/>
      <c r="AD1" s="729"/>
      <c r="AE1" s="729"/>
      <c r="AF1" s="729"/>
      <c r="AG1" s="729"/>
      <c r="AH1" s="729"/>
      <c r="AI1" s="729"/>
      <c r="AJ1" s="729"/>
      <c r="AK1" s="729"/>
      <c r="AL1" s="729"/>
      <c r="AM1" s="729"/>
      <c r="AN1" s="729"/>
      <c r="AO1" s="729"/>
    </row>
    <row r="2" spans="1:81" ht="22.5" customHeight="1">
      <c r="A2" s="1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29"/>
      <c r="AB2" s="729"/>
      <c r="AC2" s="729"/>
      <c r="AD2" s="729"/>
      <c r="AE2" s="729"/>
      <c r="AF2" s="729"/>
      <c r="AG2" s="729"/>
      <c r="AH2" s="729"/>
      <c r="AI2" s="729"/>
      <c r="AJ2" s="729"/>
      <c r="AK2" s="729"/>
      <c r="AL2" s="729"/>
      <c r="AM2" s="729"/>
      <c r="AN2" s="729"/>
      <c r="AO2" s="729"/>
    </row>
    <row r="3" spans="1:81" ht="22.5" customHeight="1">
      <c r="A3" s="18"/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R3" s="730"/>
      <c r="S3" s="730"/>
      <c r="T3" s="730"/>
      <c r="U3" s="730"/>
      <c r="V3" s="730"/>
      <c r="W3" s="730"/>
      <c r="X3" s="730"/>
      <c r="Y3" s="730"/>
      <c r="Z3" s="730"/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</row>
    <row r="4" spans="1:81" ht="25" customHeight="1">
      <c r="B4" s="731"/>
      <c r="C4" s="733" t="s">
        <v>6</v>
      </c>
      <c r="D4" s="734"/>
      <c r="E4" s="734"/>
      <c r="F4" s="735"/>
      <c r="G4" s="308">
        <v>1</v>
      </c>
      <c r="H4" s="51">
        <v>2</v>
      </c>
      <c r="I4" s="37">
        <v>3</v>
      </c>
      <c r="J4" s="37">
        <v>4</v>
      </c>
      <c r="K4" s="37">
        <v>5</v>
      </c>
      <c r="L4" s="37">
        <v>6</v>
      </c>
      <c r="M4" s="37">
        <v>7</v>
      </c>
      <c r="N4" s="127">
        <v>8</v>
      </c>
      <c r="O4" s="51">
        <v>9</v>
      </c>
      <c r="P4" s="37">
        <v>10</v>
      </c>
      <c r="Q4" s="37">
        <v>11</v>
      </c>
      <c r="R4" s="37">
        <v>12</v>
      </c>
      <c r="S4" s="37">
        <v>13</v>
      </c>
      <c r="T4" s="37">
        <v>14</v>
      </c>
      <c r="U4" s="127">
        <v>15</v>
      </c>
      <c r="V4" s="51">
        <v>16</v>
      </c>
      <c r="W4" s="127">
        <v>17</v>
      </c>
      <c r="X4" s="37">
        <v>18</v>
      </c>
      <c r="Y4" s="37">
        <v>19</v>
      </c>
      <c r="Z4" s="37">
        <v>20</v>
      </c>
      <c r="AA4" s="37">
        <v>21</v>
      </c>
      <c r="AB4" s="127">
        <v>22</v>
      </c>
      <c r="AC4" s="51">
        <v>23</v>
      </c>
      <c r="AD4" s="37">
        <v>24</v>
      </c>
      <c r="AE4" s="37">
        <v>25</v>
      </c>
      <c r="AF4" s="37">
        <v>26</v>
      </c>
      <c r="AG4" s="37">
        <v>27</v>
      </c>
      <c r="AH4" s="37">
        <v>28</v>
      </c>
      <c r="AI4" s="127">
        <v>29</v>
      </c>
      <c r="AJ4" s="51">
        <v>30</v>
      </c>
      <c r="AK4" s="309">
        <v>31</v>
      </c>
      <c r="AL4" s="736" t="s">
        <v>35</v>
      </c>
      <c r="AM4" s="737"/>
      <c r="AN4" s="737"/>
      <c r="AO4" s="738"/>
      <c r="AP4" s="10"/>
    </row>
    <row r="5" spans="1:81" ht="25" customHeight="1">
      <c r="B5" s="732"/>
      <c r="C5" s="739" t="s">
        <v>7</v>
      </c>
      <c r="D5" s="740"/>
      <c r="E5" s="741" t="s">
        <v>8</v>
      </c>
      <c r="F5" s="742"/>
      <c r="G5" s="209" t="s">
        <v>67</v>
      </c>
      <c r="H5" s="188" t="s">
        <v>69</v>
      </c>
      <c r="I5" s="185" t="s">
        <v>14</v>
      </c>
      <c r="J5" s="185" t="s">
        <v>15</v>
      </c>
      <c r="K5" s="185" t="s">
        <v>9</v>
      </c>
      <c r="L5" s="185" t="s">
        <v>10</v>
      </c>
      <c r="M5" s="185" t="s">
        <v>11</v>
      </c>
      <c r="N5" s="186" t="s">
        <v>12</v>
      </c>
      <c r="O5" s="188" t="s">
        <v>13</v>
      </c>
      <c r="P5" s="185" t="s">
        <v>14</v>
      </c>
      <c r="Q5" s="185" t="s">
        <v>15</v>
      </c>
      <c r="R5" s="185" t="s">
        <v>9</v>
      </c>
      <c r="S5" s="185" t="s">
        <v>10</v>
      </c>
      <c r="T5" s="185" t="s">
        <v>11</v>
      </c>
      <c r="U5" s="186" t="s">
        <v>12</v>
      </c>
      <c r="V5" s="188" t="s">
        <v>13</v>
      </c>
      <c r="W5" s="186" t="s">
        <v>14</v>
      </c>
      <c r="X5" s="185" t="s">
        <v>15</v>
      </c>
      <c r="Y5" s="185" t="s">
        <v>9</v>
      </c>
      <c r="Z5" s="185" t="s">
        <v>10</v>
      </c>
      <c r="AA5" s="185" t="s">
        <v>11</v>
      </c>
      <c r="AB5" s="186" t="s">
        <v>12</v>
      </c>
      <c r="AC5" s="188" t="s">
        <v>13</v>
      </c>
      <c r="AD5" s="185" t="s">
        <v>14</v>
      </c>
      <c r="AE5" s="185" t="s">
        <v>15</v>
      </c>
      <c r="AF5" s="185" t="s">
        <v>9</v>
      </c>
      <c r="AG5" s="185" t="s">
        <v>10</v>
      </c>
      <c r="AH5" s="185" t="s">
        <v>11</v>
      </c>
      <c r="AI5" s="186" t="s">
        <v>12</v>
      </c>
      <c r="AJ5" s="188" t="s">
        <v>13</v>
      </c>
      <c r="AK5" s="208" t="s">
        <v>14</v>
      </c>
      <c r="AL5" s="3" t="s">
        <v>0</v>
      </c>
      <c r="AM5" s="553" t="s">
        <v>2</v>
      </c>
      <c r="AN5" s="253" t="s">
        <v>1</v>
      </c>
      <c r="AO5" s="36" t="s">
        <v>16</v>
      </c>
      <c r="AP5" s="10"/>
    </row>
    <row r="6" spans="1:81" ht="22" customHeight="1">
      <c r="B6" s="353">
        <v>1</v>
      </c>
      <c r="C6" s="718" t="s">
        <v>191</v>
      </c>
      <c r="D6" s="719"/>
      <c r="E6" s="720" t="s">
        <v>34</v>
      </c>
      <c r="F6" s="721"/>
      <c r="G6" s="256" t="s">
        <v>1</v>
      </c>
      <c r="H6" s="75" t="s">
        <v>1</v>
      </c>
      <c r="I6" s="39" t="s">
        <v>2</v>
      </c>
      <c r="J6" s="53" t="s">
        <v>2</v>
      </c>
      <c r="K6" s="75" t="s">
        <v>2</v>
      </c>
      <c r="L6" s="39" t="s">
        <v>2</v>
      </c>
      <c r="M6" s="75" t="s">
        <v>2</v>
      </c>
      <c r="N6" s="233" t="s">
        <v>1</v>
      </c>
      <c r="O6" s="75" t="s">
        <v>1</v>
      </c>
      <c r="P6" s="75" t="s">
        <v>2</v>
      </c>
      <c r="Q6" s="53" t="s">
        <v>2</v>
      </c>
      <c r="R6" s="75" t="s">
        <v>2</v>
      </c>
      <c r="S6" s="39" t="s">
        <v>2</v>
      </c>
      <c r="T6" s="75" t="s">
        <v>2</v>
      </c>
      <c r="U6" s="233" t="s">
        <v>21</v>
      </c>
      <c r="V6" s="75" t="s">
        <v>1</v>
      </c>
      <c r="W6" s="112" t="s">
        <v>21</v>
      </c>
      <c r="X6" s="53" t="s">
        <v>2</v>
      </c>
      <c r="Y6" s="75" t="s">
        <v>2</v>
      </c>
      <c r="Z6" s="39" t="s">
        <v>2</v>
      </c>
      <c r="AA6" s="75" t="s">
        <v>2</v>
      </c>
      <c r="AB6" s="233" t="s">
        <v>21</v>
      </c>
      <c r="AC6" s="75" t="s">
        <v>1</v>
      </c>
      <c r="AD6" s="75" t="s">
        <v>2</v>
      </c>
      <c r="AE6" s="53" t="s">
        <v>2</v>
      </c>
      <c r="AF6" s="75" t="s">
        <v>2</v>
      </c>
      <c r="AG6" s="39" t="s">
        <v>2</v>
      </c>
      <c r="AH6" s="75" t="s">
        <v>2</v>
      </c>
      <c r="AI6" s="233" t="s">
        <v>21</v>
      </c>
      <c r="AJ6" s="75" t="s">
        <v>1</v>
      </c>
      <c r="AK6" s="75" t="s">
        <v>2</v>
      </c>
      <c r="AL6" s="55">
        <f t="shared" ref="AL6:AL25" si="0">COUNTIF(G6:AK6,"▲")</f>
        <v>0</v>
      </c>
      <c r="AM6" s="21">
        <f t="shared" ref="AM6:AM25" si="1">COUNTIF(G6:AK6,"D")</f>
        <v>20</v>
      </c>
      <c r="AN6" s="22">
        <f>COUNTIF(G6:AK6,"●")</f>
        <v>11</v>
      </c>
      <c r="AO6" s="27">
        <f t="shared" ref="AO6:AO25" si="2">AN6+AL6</f>
        <v>11</v>
      </c>
      <c r="AP6" s="10"/>
    </row>
    <row r="7" spans="1:81" ht="21.75" customHeight="1">
      <c r="B7" s="54">
        <v>2</v>
      </c>
      <c r="C7" s="710" t="s">
        <v>22</v>
      </c>
      <c r="D7" s="722"/>
      <c r="E7" s="723" t="s">
        <v>23</v>
      </c>
      <c r="F7" s="724"/>
      <c r="G7" s="220" t="s">
        <v>1</v>
      </c>
      <c r="H7" s="46" t="s">
        <v>21</v>
      </c>
      <c r="I7" s="93" t="s">
        <v>2</v>
      </c>
      <c r="J7" s="141" t="s">
        <v>21</v>
      </c>
      <c r="K7" s="93" t="s">
        <v>2</v>
      </c>
      <c r="L7" s="93" t="s">
        <v>2</v>
      </c>
      <c r="M7" s="40" t="s">
        <v>2</v>
      </c>
      <c r="N7" s="59" t="s">
        <v>2</v>
      </c>
      <c r="O7" s="46" t="s">
        <v>21</v>
      </c>
      <c r="P7" s="46" t="s">
        <v>2</v>
      </c>
      <c r="Q7" s="46" t="s">
        <v>2</v>
      </c>
      <c r="R7" s="196" t="s">
        <v>0</v>
      </c>
      <c r="S7" s="93" t="s">
        <v>2</v>
      </c>
      <c r="T7" s="93" t="s">
        <v>2</v>
      </c>
      <c r="U7" s="141" t="s">
        <v>21</v>
      </c>
      <c r="V7" s="46" t="s">
        <v>21</v>
      </c>
      <c r="W7" s="46" t="s">
        <v>2</v>
      </c>
      <c r="X7" s="43" t="s">
        <v>2</v>
      </c>
      <c r="Y7" s="43" t="s">
        <v>2</v>
      </c>
      <c r="Z7" s="43" t="s">
        <v>2</v>
      </c>
      <c r="AA7" s="141" t="s">
        <v>21</v>
      </c>
      <c r="AB7" s="141" t="s">
        <v>21</v>
      </c>
      <c r="AC7" s="46" t="s">
        <v>21</v>
      </c>
      <c r="AD7" s="196" t="s">
        <v>40</v>
      </c>
      <c r="AE7" s="225" t="s">
        <v>40</v>
      </c>
      <c r="AF7" s="46" t="s">
        <v>2</v>
      </c>
      <c r="AG7" s="121" t="s">
        <v>2</v>
      </c>
      <c r="AH7" s="121" t="s">
        <v>2</v>
      </c>
      <c r="AI7" s="141" t="s">
        <v>21</v>
      </c>
      <c r="AJ7" s="46" t="s">
        <v>21</v>
      </c>
      <c r="AK7" s="46" t="s">
        <v>2</v>
      </c>
      <c r="AL7" s="221">
        <f t="shared" si="0"/>
        <v>3</v>
      </c>
      <c r="AM7" s="260">
        <f t="shared" si="1"/>
        <v>17</v>
      </c>
      <c r="AN7" s="32">
        <f>COUNTIF(G7:AK7,"●")</f>
        <v>11</v>
      </c>
      <c r="AO7" s="167">
        <f t="shared" si="2"/>
        <v>14</v>
      </c>
      <c r="AP7" s="10"/>
      <c r="AQ7"/>
      <c r="AT7"/>
    </row>
    <row r="8" spans="1:81" ht="22" customHeight="1">
      <c r="B8" s="353">
        <v>3</v>
      </c>
      <c r="C8" s="725" t="s">
        <v>36</v>
      </c>
      <c r="D8" s="726"/>
      <c r="E8" s="727" t="s">
        <v>37</v>
      </c>
      <c r="F8" s="728"/>
      <c r="G8" s="380" t="s">
        <v>2</v>
      </c>
      <c r="H8" s="75" t="s">
        <v>21</v>
      </c>
      <c r="I8" s="75" t="s">
        <v>2</v>
      </c>
      <c r="J8" s="39" t="s">
        <v>2</v>
      </c>
      <c r="K8" s="239" t="s">
        <v>40</v>
      </c>
      <c r="L8" s="75" t="s">
        <v>2</v>
      </c>
      <c r="M8" s="75" t="s">
        <v>2</v>
      </c>
      <c r="N8" s="233" t="s">
        <v>21</v>
      </c>
      <c r="O8" s="75" t="s">
        <v>21</v>
      </c>
      <c r="P8" s="213" t="s">
        <v>1</v>
      </c>
      <c r="Q8" s="75" t="s">
        <v>2</v>
      </c>
      <c r="R8" s="48" t="s">
        <v>1</v>
      </c>
      <c r="S8" s="75" t="s">
        <v>2</v>
      </c>
      <c r="T8" s="75" t="s">
        <v>2</v>
      </c>
      <c r="U8" s="75" t="s">
        <v>2</v>
      </c>
      <c r="V8" s="75" t="s">
        <v>21</v>
      </c>
      <c r="W8" s="233" t="s">
        <v>21</v>
      </c>
      <c r="X8" s="75" t="s">
        <v>2</v>
      </c>
      <c r="Y8" s="233" t="s">
        <v>1</v>
      </c>
      <c r="Z8" s="75" t="s">
        <v>2</v>
      </c>
      <c r="AA8" s="75" t="s">
        <v>2</v>
      </c>
      <c r="AB8" s="75" t="s">
        <v>2</v>
      </c>
      <c r="AC8" s="75" t="s">
        <v>21</v>
      </c>
      <c r="AD8" s="75" t="s">
        <v>2</v>
      </c>
      <c r="AE8" s="233" t="s">
        <v>21</v>
      </c>
      <c r="AF8" s="75" t="s">
        <v>2</v>
      </c>
      <c r="AG8" s="75" t="s">
        <v>2</v>
      </c>
      <c r="AH8" s="261" t="s">
        <v>2</v>
      </c>
      <c r="AI8" s="261" t="s">
        <v>2</v>
      </c>
      <c r="AJ8" s="75" t="s">
        <v>21</v>
      </c>
      <c r="AK8" s="75" t="s">
        <v>2</v>
      </c>
      <c r="AL8" s="124">
        <f t="shared" si="0"/>
        <v>1</v>
      </c>
      <c r="AM8" s="33">
        <f t="shared" si="1"/>
        <v>19</v>
      </c>
      <c r="AN8" s="22">
        <f>COUNTIF(G8:AK8,"●")</f>
        <v>11</v>
      </c>
      <c r="AO8" s="27">
        <f t="shared" si="2"/>
        <v>12</v>
      </c>
      <c r="AP8" s="10"/>
      <c r="AR8"/>
    </row>
    <row r="9" spans="1:81" ht="22" customHeight="1">
      <c r="A9" s="701"/>
      <c r="B9" s="20">
        <v>4</v>
      </c>
      <c r="C9" s="702" t="s">
        <v>46</v>
      </c>
      <c r="D9" s="703"/>
      <c r="E9" s="704" t="s">
        <v>24</v>
      </c>
      <c r="F9" s="705"/>
      <c r="G9" s="58" t="s">
        <v>2</v>
      </c>
      <c r="H9" s="40" t="s">
        <v>1</v>
      </c>
      <c r="I9" s="59" t="s">
        <v>2</v>
      </c>
      <c r="J9" s="59" t="s">
        <v>2</v>
      </c>
      <c r="K9" s="59" t="s">
        <v>2</v>
      </c>
      <c r="L9" s="59" t="s">
        <v>2</v>
      </c>
      <c r="M9" s="153" t="s">
        <v>1</v>
      </c>
      <c r="N9" s="153" t="s">
        <v>1</v>
      </c>
      <c r="O9" s="40" t="s">
        <v>1</v>
      </c>
      <c r="P9" s="111" t="s">
        <v>0</v>
      </c>
      <c r="Q9" s="111" t="s">
        <v>0</v>
      </c>
      <c r="R9" s="111" t="s">
        <v>40</v>
      </c>
      <c r="S9" s="153" t="s">
        <v>1</v>
      </c>
      <c r="T9" s="59" t="s">
        <v>2</v>
      </c>
      <c r="U9" s="40" t="s">
        <v>2</v>
      </c>
      <c r="V9" s="40" t="s">
        <v>1</v>
      </c>
      <c r="W9" s="59" t="s">
        <v>2</v>
      </c>
      <c r="X9" s="40" t="s">
        <v>2</v>
      </c>
      <c r="Y9" s="59" t="s">
        <v>2</v>
      </c>
      <c r="Z9" s="59" t="s">
        <v>2</v>
      </c>
      <c r="AA9" s="59" t="s">
        <v>2</v>
      </c>
      <c r="AB9" s="57" t="s">
        <v>1</v>
      </c>
      <c r="AC9" s="40" t="s">
        <v>1</v>
      </c>
      <c r="AD9" s="40" t="s">
        <v>2</v>
      </c>
      <c r="AE9" s="40" t="s">
        <v>2</v>
      </c>
      <c r="AF9" s="374" t="s">
        <v>155</v>
      </c>
      <c r="AG9" s="571" t="s">
        <v>155</v>
      </c>
      <c r="AH9" s="134" t="s">
        <v>20</v>
      </c>
      <c r="AI9" s="134" t="s">
        <v>20</v>
      </c>
      <c r="AJ9" s="134" t="s">
        <v>20</v>
      </c>
      <c r="AK9" s="134" t="s">
        <v>20</v>
      </c>
      <c r="AL9" s="30">
        <f t="shared" si="0"/>
        <v>3</v>
      </c>
      <c r="AM9" s="25">
        <f t="shared" si="1"/>
        <v>14</v>
      </c>
      <c r="AN9" s="26">
        <v>10</v>
      </c>
      <c r="AO9" s="29">
        <f t="shared" si="2"/>
        <v>13</v>
      </c>
      <c r="AP9" s="10"/>
      <c r="AQ9"/>
      <c r="AR9"/>
      <c r="AS9"/>
      <c r="AT9"/>
    </row>
    <row r="10" spans="1:81" ht="22" customHeight="1">
      <c r="A10" s="701"/>
      <c r="B10" s="20">
        <v>5</v>
      </c>
      <c r="C10" s="706" t="s">
        <v>167</v>
      </c>
      <c r="D10" s="707"/>
      <c r="E10" s="698" t="s">
        <v>24</v>
      </c>
      <c r="F10" s="699"/>
      <c r="G10" s="244" t="s">
        <v>1</v>
      </c>
      <c r="H10" s="59" t="s">
        <v>21</v>
      </c>
      <c r="I10" s="180" t="s">
        <v>21</v>
      </c>
      <c r="J10" s="59" t="s">
        <v>2</v>
      </c>
      <c r="K10" s="59" t="s">
        <v>2</v>
      </c>
      <c r="L10" s="59" t="s">
        <v>2</v>
      </c>
      <c r="M10" s="59" t="s">
        <v>2</v>
      </c>
      <c r="N10" s="180" t="s">
        <v>21</v>
      </c>
      <c r="O10" s="59" t="s">
        <v>21</v>
      </c>
      <c r="P10" s="59" t="s">
        <v>2</v>
      </c>
      <c r="Q10" s="59" t="s">
        <v>2</v>
      </c>
      <c r="R10" s="59" t="s">
        <v>2</v>
      </c>
      <c r="S10" s="59" t="s">
        <v>2</v>
      </c>
      <c r="T10" s="111" t="s">
        <v>0</v>
      </c>
      <c r="U10" s="57" t="s">
        <v>1</v>
      </c>
      <c r="V10" s="59" t="s">
        <v>21</v>
      </c>
      <c r="W10" s="114" t="s">
        <v>1</v>
      </c>
      <c r="X10" s="40" t="s">
        <v>2</v>
      </c>
      <c r="Y10" s="59" t="s">
        <v>2</v>
      </c>
      <c r="Z10" s="40" t="s">
        <v>2</v>
      </c>
      <c r="AA10" s="59" t="s">
        <v>2</v>
      </c>
      <c r="AB10" s="153" t="s">
        <v>1</v>
      </c>
      <c r="AC10" s="59" t="s">
        <v>21</v>
      </c>
      <c r="AD10" s="40" t="s">
        <v>2</v>
      </c>
      <c r="AE10" s="40" t="s">
        <v>2</v>
      </c>
      <c r="AF10" s="59" t="s">
        <v>2</v>
      </c>
      <c r="AG10" s="40" t="s">
        <v>2</v>
      </c>
      <c r="AH10" s="201" t="s">
        <v>0</v>
      </c>
      <c r="AI10" s="71" t="s">
        <v>2</v>
      </c>
      <c r="AJ10" s="59" t="s">
        <v>21</v>
      </c>
      <c r="AK10" s="111" t="s">
        <v>40</v>
      </c>
      <c r="AL10" s="30">
        <f t="shared" si="0"/>
        <v>3</v>
      </c>
      <c r="AM10" s="25">
        <f t="shared" si="1"/>
        <v>17</v>
      </c>
      <c r="AN10" s="26">
        <f>COUNTIF(G10:AK10,"●")</f>
        <v>11</v>
      </c>
      <c r="AO10" s="29">
        <f t="shared" si="2"/>
        <v>14</v>
      </c>
      <c r="AP10" s="238"/>
      <c r="AR10"/>
    </row>
    <row r="11" spans="1:81" ht="22" customHeight="1">
      <c r="A11" s="701"/>
      <c r="B11" s="20">
        <v>6</v>
      </c>
      <c r="C11" s="708" t="s">
        <v>617</v>
      </c>
      <c r="D11" s="709"/>
      <c r="E11" s="673" t="s">
        <v>32</v>
      </c>
      <c r="F11" s="674"/>
      <c r="G11" s="244" t="s">
        <v>1</v>
      </c>
      <c r="H11" s="59" t="s">
        <v>1</v>
      </c>
      <c r="I11" s="59" t="s">
        <v>2</v>
      </c>
      <c r="J11" s="40" t="s">
        <v>2</v>
      </c>
      <c r="K11" s="59" t="s">
        <v>2</v>
      </c>
      <c r="L11" s="114" t="s">
        <v>1</v>
      </c>
      <c r="M11" s="40" t="s">
        <v>2</v>
      </c>
      <c r="N11" s="40" t="s">
        <v>2</v>
      </c>
      <c r="O11" s="59" t="s">
        <v>1</v>
      </c>
      <c r="P11" s="40" t="s">
        <v>2</v>
      </c>
      <c r="Q11" s="40" t="s">
        <v>2</v>
      </c>
      <c r="R11" s="40" t="s">
        <v>2</v>
      </c>
      <c r="S11" s="59" t="s">
        <v>2</v>
      </c>
      <c r="T11" s="40" t="s">
        <v>2</v>
      </c>
      <c r="U11" s="57" t="s">
        <v>1</v>
      </c>
      <c r="V11" s="59" t="s">
        <v>1</v>
      </c>
      <c r="W11" s="40" t="s">
        <v>2</v>
      </c>
      <c r="X11" s="40" t="s">
        <v>2</v>
      </c>
      <c r="Y11" s="40" t="s">
        <v>2</v>
      </c>
      <c r="Z11" s="59" t="s">
        <v>2</v>
      </c>
      <c r="AA11" s="153" t="s">
        <v>1</v>
      </c>
      <c r="AB11" s="40" t="s">
        <v>2</v>
      </c>
      <c r="AC11" s="59" t="s">
        <v>1</v>
      </c>
      <c r="AD11" s="40" t="s">
        <v>2</v>
      </c>
      <c r="AE11" s="40" t="s">
        <v>2</v>
      </c>
      <c r="AF11" s="114" t="s">
        <v>1</v>
      </c>
      <c r="AG11" s="40" t="s">
        <v>2</v>
      </c>
      <c r="AH11" s="40" t="s">
        <v>2</v>
      </c>
      <c r="AI11" s="114" t="s">
        <v>1</v>
      </c>
      <c r="AJ11" s="59" t="s">
        <v>1</v>
      </c>
      <c r="AK11" s="40" t="s">
        <v>2</v>
      </c>
      <c r="AL11" s="30">
        <f t="shared" si="0"/>
        <v>0</v>
      </c>
      <c r="AM11" s="25">
        <f t="shared" si="1"/>
        <v>20</v>
      </c>
      <c r="AN11" s="26">
        <f>COUNTIF(G11:AK11,"●")</f>
        <v>11</v>
      </c>
      <c r="AO11" s="29">
        <f t="shared" si="2"/>
        <v>11</v>
      </c>
      <c r="AP11" s="409"/>
      <c r="AS11"/>
      <c r="AT11"/>
    </row>
    <row r="12" spans="1:81" ht="22" customHeight="1" thickBot="1">
      <c r="A12" s="701"/>
      <c r="B12" s="54">
        <v>7</v>
      </c>
      <c r="C12" s="710" t="s">
        <v>29</v>
      </c>
      <c r="D12" s="711"/>
      <c r="E12" s="712" t="s">
        <v>28</v>
      </c>
      <c r="F12" s="713"/>
      <c r="G12" s="217" t="s">
        <v>1</v>
      </c>
      <c r="H12" s="43" t="s">
        <v>1</v>
      </c>
      <c r="I12" s="118" t="s">
        <v>56</v>
      </c>
      <c r="J12" s="43" t="s">
        <v>2</v>
      </c>
      <c r="K12" s="93" t="s">
        <v>2</v>
      </c>
      <c r="L12" s="43" t="s">
        <v>2</v>
      </c>
      <c r="M12" s="93" t="s">
        <v>2</v>
      </c>
      <c r="N12" s="141" t="s">
        <v>1</v>
      </c>
      <c r="O12" s="43" t="s">
        <v>1</v>
      </c>
      <c r="P12" s="121" t="s">
        <v>2</v>
      </c>
      <c r="Q12" s="44" t="s">
        <v>2</v>
      </c>
      <c r="R12" s="248" t="s">
        <v>40</v>
      </c>
      <c r="S12" s="44" t="s">
        <v>2</v>
      </c>
      <c r="T12" s="121" t="s">
        <v>2</v>
      </c>
      <c r="U12" s="171" t="s">
        <v>1</v>
      </c>
      <c r="V12" s="43" t="s">
        <v>1</v>
      </c>
      <c r="W12" s="141" t="s">
        <v>21</v>
      </c>
      <c r="X12" s="43" t="s">
        <v>2</v>
      </c>
      <c r="Y12" s="93" t="s">
        <v>2</v>
      </c>
      <c r="Z12" s="43" t="s">
        <v>2</v>
      </c>
      <c r="AA12" s="93" t="s">
        <v>2</v>
      </c>
      <c r="AB12" s="141" t="s">
        <v>21</v>
      </c>
      <c r="AC12" s="43" t="s">
        <v>1</v>
      </c>
      <c r="AD12" s="93" t="s">
        <v>2</v>
      </c>
      <c r="AE12" s="109" t="s">
        <v>2</v>
      </c>
      <c r="AF12" s="196" t="s">
        <v>40</v>
      </c>
      <c r="AG12" s="102" t="s">
        <v>2</v>
      </c>
      <c r="AH12" s="93" t="s">
        <v>2</v>
      </c>
      <c r="AI12" s="141" t="s">
        <v>21</v>
      </c>
      <c r="AJ12" s="43" t="s">
        <v>1</v>
      </c>
      <c r="AK12" s="121" t="s">
        <v>2</v>
      </c>
      <c r="AL12" s="221">
        <f t="shared" si="0"/>
        <v>2</v>
      </c>
      <c r="AM12" s="260">
        <f t="shared" si="1"/>
        <v>17</v>
      </c>
      <c r="AN12" s="32">
        <f>COUNTIF(G12:AK12,"●")</f>
        <v>11</v>
      </c>
      <c r="AO12" s="167">
        <f t="shared" si="2"/>
        <v>13</v>
      </c>
      <c r="AP12" s="10"/>
    </row>
    <row r="13" spans="1:81" ht="22" customHeight="1">
      <c r="A13" s="701"/>
      <c r="B13" s="353">
        <v>8</v>
      </c>
      <c r="C13" s="714" t="s">
        <v>25</v>
      </c>
      <c r="D13" s="715"/>
      <c r="E13" s="785" t="s">
        <v>30</v>
      </c>
      <c r="F13" s="771"/>
      <c r="G13" s="256" t="s">
        <v>21</v>
      </c>
      <c r="H13" s="75" t="s">
        <v>1</v>
      </c>
      <c r="I13" s="153" t="s">
        <v>1</v>
      </c>
      <c r="J13" s="39" t="s">
        <v>2</v>
      </c>
      <c r="K13" s="75" t="s">
        <v>2</v>
      </c>
      <c r="L13" s="39" t="s">
        <v>2</v>
      </c>
      <c r="M13" s="75" t="s">
        <v>2</v>
      </c>
      <c r="N13" s="75" t="s">
        <v>2</v>
      </c>
      <c r="O13" s="335" t="s">
        <v>1</v>
      </c>
      <c r="P13" s="270" t="s">
        <v>2</v>
      </c>
      <c r="Q13" s="279" t="s">
        <v>21</v>
      </c>
      <c r="R13" s="169" t="s">
        <v>2</v>
      </c>
      <c r="S13" s="169" t="s">
        <v>2</v>
      </c>
      <c r="T13" s="169" t="s">
        <v>2</v>
      </c>
      <c r="U13" s="562" t="s">
        <v>21</v>
      </c>
      <c r="V13" s="78" t="s">
        <v>1</v>
      </c>
      <c r="W13" s="75" t="s">
        <v>2</v>
      </c>
      <c r="X13" s="39" t="s">
        <v>2</v>
      </c>
      <c r="Y13" s="153" t="s">
        <v>1</v>
      </c>
      <c r="Z13" s="39" t="s">
        <v>2</v>
      </c>
      <c r="AA13" s="119" t="s">
        <v>83</v>
      </c>
      <c r="AB13" s="75" t="s">
        <v>2</v>
      </c>
      <c r="AC13" s="75" t="s">
        <v>1</v>
      </c>
      <c r="AD13" s="75" t="s">
        <v>2</v>
      </c>
      <c r="AE13" s="119" t="s">
        <v>56</v>
      </c>
      <c r="AF13" s="71" t="s">
        <v>2</v>
      </c>
      <c r="AG13" s="75" t="s">
        <v>2</v>
      </c>
      <c r="AH13" s="239" t="s">
        <v>0</v>
      </c>
      <c r="AI13" s="233" t="s">
        <v>1</v>
      </c>
      <c r="AJ13" s="335" t="s">
        <v>1</v>
      </c>
      <c r="AK13" s="398" t="s">
        <v>2</v>
      </c>
      <c r="AL13" s="267">
        <f t="shared" si="0"/>
        <v>1</v>
      </c>
      <c r="AM13" s="21">
        <f t="shared" si="1"/>
        <v>17</v>
      </c>
      <c r="AN13" s="22">
        <f>COUNTIF(G13:AK13,"●")</f>
        <v>11</v>
      </c>
      <c r="AO13" s="27">
        <f t="shared" si="2"/>
        <v>12</v>
      </c>
      <c r="AP13" s="238"/>
      <c r="AQ13" s="470"/>
      <c r="AR13" s="700"/>
      <c r="AS13" s="700"/>
      <c r="AT13"/>
    </row>
    <row r="14" spans="1:81" ht="21.75" customHeight="1">
      <c r="A14" s="19" t="s">
        <v>80</v>
      </c>
      <c r="B14" s="301">
        <v>9</v>
      </c>
      <c r="C14" s="684" t="s">
        <v>49</v>
      </c>
      <c r="D14" s="685"/>
      <c r="E14" s="698" t="s">
        <v>31</v>
      </c>
      <c r="F14" s="699"/>
      <c r="G14" s="58" t="s">
        <v>2</v>
      </c>
      <c r="H14" s="59" t="s">
        <v>21</v>
      </c>
      <c r="I14" s="59" t="s">
        <v>2</v>
      </c>
      <c r="J14" s="40" t="s">
        <v>2</v>
      </c>
      <c r="K14" s="111" t="s">
        <v>0</v>
      </c>
      <c r="L14" s="59" t="s">
        <v>2</v>
      </c>
      <c r="M14" s="40" t="s">
        <v>2</v>
      </c>
      <c r="N14" s="153" t="s">
        <v>21</v>
      </c>
      <c r="O14" s="74" t="s">
        <v>21</v>
      </c>
      <c r="P14" s="320" t="s">
        <v>21</v>
      </c>
      <c r="Q14" s="59" t="s">
        <v>2</v>
      </c>
      <c r="R14" s="40" t="s">
        <v>2</v>
      </c>
      <c r="S14" s="114" t="s">
        <v>21</v>
      </c>
      <c r="T14" s="40" t="s">
        <v>2</v>
      </c>
      <c r="U14" s="284" t="s">
        <v>2</v>
      </c>
      <c r="V14" s="47" t="s">
        <v>21</v>
      </c>
      <c r="W14" s="59" t="s">
        <v>2</v>
      </c>
      <c r="X14" s="374" t="s">
        <v>155</v>
      </c>
      <c r="Y14" s="40" t="s">
        <v>2</v>
      </c>
      <c r="Z14" s="40" t="s">
        <v>2</v>
      </c>
      <c r="AA14" s="91" t="s">
        <v>0</v>
      </c>
      <c r="AB14" s="57" t="s">
        <v>21</v>
      </c>
      <c r="AC14" s="47" t="s">
        <v>21</v>
      </c>
      <c r="AD14" s="40" t="s">
        <v>2</v>
      </c>
      <c r="AE14" s="59" t="s">
        <v>2</v>
      </c>
      <c r="AF14" s="40" t="s">
        <v>2</v>
      </c>
      <c r="AG14" s="374" t="s">
        <v>155</v>
      </c>
      <c r="AH14" s="40" t="s">
        <v>2</v>
      </c>
      <c r="AI14" s="114" t="s">
        <v>1</v>
      </c>
      <c r="AJ14" s="74" t="s">
        <v>21</v>
      </c>
      <c r="AK14" s="399" t="s">
        <v>2</v>
      </c>
      <c r="AL14" s="268">
        <f t="shared" si="0"/>
        <v>2</v>
      </c>
      <c r="AM14" s="25">
        <f t="shared" si="1"/>
        <v>17</v>
      </c>
      <c r="AN14" s="26">
        <v>11</v>
      </c>
      <c r="AO14" s="29">
        <f t="shared" si="2"/>
        <v>13</v>
      </c>
      <c r="AP14" s="238"/>
      <c r="AQ14"/>
      <c r="AR14" s="96"/>
      <c r="AS14" s="96"/>
    </row>
    <row r="15" spans="1:81" ht="21.75" customHeight="1">
      <c r="A15" s="19"/>
      <c r="B15" s="301">
        <v>10</v>
      </c>
      <c r="C15" s="684" t="s">
        <v>114</v>
      </c>
      <c r="D15" s="685"/>
      <c r="E15" s="698" t="s">
        <v>31</v>
      </c>
      <c r="F15" s="699"/>
      <c r="G15" s="143" t="s">
        <v>1</v>
      </c>
      <c r="H15" s="64" t="s">
        <v>21</v>
      </c>
      <c r="I15" s="40" t="s">
        <v>2</v>
      </c>
      <c r="J15" s="59" t="s">
        <v>2</v>
      </c>
      <c r="K15" s="59" t="s">
        <v>2</v>
      </c>
      <c r="L15" s="119" t="s">
        <v>56</v>
      </c>
      <c r="M15" s="153" t="s">
        <v>21</v>
      </c>
      <c r="N15" s="137" t="s">
        <v>21</v>
      </c>
      <c r="O15" s="110" t="s">
        <v>21</v>
      </c>
      <c r="P15" s="280" t="s">
        <v>2</v>
      </c>
      <c r="Q15" s="40" t="s">
        <v>2</v>
      </c>
      <c r="R15" s="114" t="s">
        <v>21</v>
      </c>
      <c r="S15" s="59" t="s">
        <v>2</v>
      </c>
      <c r="T15" s="59" t="s">
        <v>2</v>
      </c>
      <c r="U15" s="284" t="s">
        <v>2</v>
      </c>
      <c r="V15" s="64" t="s">
        <v>21</v>
      </c>
      <c r="W15" s="111" t="s">
        <v>40</v>
      </c>
      <c r="X15" s="59" t="s">
        <v>2</v>
      </c>
      <c r="Y15" s="59" t="s">
        <v>2</v>
      </c>
      <c r="Z15" s="59" t="s">
        <v>2</v>
      </c>
      <c r="AA15" s="59" t="s">
        <v>2</v>
      </c>
      <c r="AB15" s="114" t="s">
        <v>1</v>
      </c>
      <c r="AC15" s="64" t="s">
        <v>21</v>
      </c>
      <c r="AD15" s="114" t="s">
        <v>21</v>
      </c>
      <c r="AE15" s="59" t="s">
        <v>2</v>
      </c>
      <c r="AF15" s="59" t="s">
        <v>2</v>
      </c>
      <c r="AG15" s="40" t="s">
        <v>2</v>
      </c>
      <c r="AH15" s="59" t="s">
        <v>2</v>
      </c>
      <c r="AI15" s="59" t="s">
        <v>2</v>
      </c>
      <c r="AJ15" s="110" t="s">
        <v>21</v>
      </c>
      <c r="AK15" s="399" t="s">
        <v>2</v>
      </c>
      <c r="AL15" s="268">
        <f t="shared" si="0"/>
        <v>1</v>
      </c>
      <c r="AM15" s="25">
        <f t="shared" si="1"/>
        <v>18</v>
      </c>
      <c r="AN15" s="26">
        <f t="shared" ref="AN15:AN25" si="3">COUNTIF(G15:AK15,"●")</f>
        <v>11</v>
      </c>
      <c r="AO15" s="29">
        <f t="shared" si="2"/>
        <v>12</v>
      </c>
      <c r="AP15" s="10"/>
      <c r="AR15" s="96"/>
      <c r="AS15" s="96"/>
    </row>
    <row r="16" spans="1:81" ht="21.75" customHeight="1" thickBot="1">
      <c r="A16" s="19" t="s">
        <v>41</v>
      </c>
      <c r="B16" s="301">
        <v>11</v>
      </c>
      <c r="C16" s="696" t="s">
        <v>192</v>
      </c>
      <c r="D16" s="697"/>
      <c r="E16" s="698" t="s">
        <v>31</v>
      </c>
      <c r="F16" s="699"/>
      <c r="G16" s="58" t="s">
        <v>2</v>
      </c>
      <c r="H16" s="47" t="s">
        <v>21</v>
      </c>
      <c r="I16" s="366" t="s">
        <v>56</v>
      </c>
      <c r="J16" s="171" t="s">
        <v>21</v>
      </c>
      <c r="K16" s="121" t="s">
        <v>2</v>
      </c>
      <c r="L16" s="63" t="s">
        <v>2</v>
      </c>
      <c r="M16" s="121" t="s">
        <v>2</v>
      </c>
      <c r="N16" s="200" t="s">
        <v>21</v>
      </c>
      <c r="O16" s="74" t="s">
        <v>21</v>
      </c>
      <c r="P16" s="274" t="s">
        <v>2</v>
      </c>
      <c r="Q16" s="275" t="s">
        <v>2</v>
      </c>
      <c r="R16" s="275" t="s">
        <v>2</v>
      </c>
      <c r="S16" s="275" t="s">
        <v>2</v>
      </c>
      <c r="T16" s="275" t="s">
        <v>2</v>
      </c>
      <c r="U16" s="315" t="s">
        <v>21</v>
      </c>
      <c r="V16" s="47" t="s">
        <v>21</v>
      </c>
      <c r="W16" s="57" t="s">
        <v>1</v>
      </c>
      <c r="X16" s="59" t="s">
        <v>2</v>
      </c>
      <c r="Y16" s="59" t="s">
        <v>2</v>
      </c>
      <c r="Z16" s="119" t="s">
        <v>56</v>
      </c>
      <c r="AA16" s="59" t="s">
        <v>2</v>
      </c>
      <c r="AB16" s="153" t="s">
        <v>21</v>
      </c>
      <c r="AC16" s="47" t="s">
        <v>21</v>
      </c>
      <c r="AD16" s="44" t="s">
        <v>2</v>
      </c>
      <c r="AE16" s="121" t="s">
        <v>2</v>
      </c>
      <c r="AF16" s="171" t="s">
        <v>21</v>
      </c>
      <c r="AG16" s="121" t="s">
        <v>2</v>
      </c>
      <c r="AH16" s="121" t="s">
        <v>2</v>
      </c>
      <c r="AI16" s="121" t="s">
        <v>2</v>
      </c>
      <c r="AJ16" s="74" t="s">
        <v>21</v>
      </c>
      <c r="AK16" s="400" t="s">
        <v>2</v>
      </c>
      <c r="AL16" s="268">
        <f t="shared" si="0"/>
        <v>0</v>
      </c>
      <c r="AM16" s="25">
        <f t="shared" si="1"/>
        <v>18</v>
      </c>
      <c r="AN16" s="26">
        <f t="shared" si="3"/>
        <v>11</v>
      </c>
      <c r="AO16" s="29">
        <f t="shared" si="2"/>
        <v>11</v>
      </c>
      <c r="AP16" s="238"/>
      <c r="AQ16" s="689"/>
      <c r="AR16" s="689"/>
      <c r="AS16" s="653"/>
      <c r="AT16" s="653"/>
      <c r="AU16" s="156"/>
      <c r="AV16" s="157"/>
      <c r="AW16" s="157"/>
      <c r="AX16" s="218"/>
      <c r="AY16" s="157"/>
      <c r="AZ16" s="218"/>
      <c r="BA16" s="157"/>
      <c r="BB16" s="203"/>
      <c r="BC16" s="157"/>
      <c r="BD16" s="157"/>
      <c r="BE16" s="157"/>
      <c r="BF16" s="157"/>
      <c r="BG16" s="157"/>
      <c r="BH16" s="157"/>
      <c r="BI16" s="156"/>
      <c r="BJ16" s="157"/>
      <c r="BK16" s="157"/>
      <c r="BL16" s="158"/>
      <c r="BM16" s="158"/>
      <c r="BN16" s="157"/>
      <c r="BO16" s="157"/>
      <c r="BP16" s="302"/>
      <c r="BQ16" s="157"/>
      <c r="BR16" s="157"/>
      <c r="BS16" s="158"/>
      <c r="BT16" s="157"/>
      <c r="BU16" s="299"/>
      <c r="BV16" s="157"/>
      <c r="BW16" s="157"/>
      <c r="BX16" s="157"/>
      <c r="BY16" s="156"/>
      <c r="BZ16" s="159"/>
      <c r="CA16" s="161"/>
      <c r="CB16" s="160"/>
      <c r="CC16" s="160"/>
    </row>
    <row r="17" spans="1:83" ht="21.75" customHeight="1">
      <c r="A17" s="19"/>
      <c r="B17" s="301">
        <v>12</v>
      </c>
      <c r="C17" s="682" t="s">
        <v>39</v>
      </c>
      <c r="D17" s="683"/>
      <c r="E17" s="698" t="s">
        <v>31</v>
      </c>
      <c r="F17" s="699"/>
      <c r="G17" s="143" t="s">
        <v>1</v>
      </c>
      <c r="H17" s="74" t="s">
        <v>21</v>
      </c>
      <c r="I17" s="350" t="s">
        <v>1</v>
      </c>
      <c r="J17" s="358" t="s">
        <v>40</v>
      </c>
      <c r="K17" s="358" t="s">
        <v>40</v>
      </c>
      <c r="L17" s="81" t="s">
        <v>2</v>
      </c>
      <c r="M17" s="81" t="s">
        <v>2</v>
      </c>
      <c r="N17" s="287" t="s">
        <v>2</v>
      </c>
      <c r="O17" s="47" t="s">
        <v>21</v>
      </c>
      <c r="P17" s="358" t="s">
        <v>40</v>
      </c>
      <c r="Q17" s="71" t="s">
        <v>2</v>
      </c>
      <c r="R17" s="42" t="s">
        <v>2</v>
      </c>
      <c r="S17" s="42" t="s">
        <v>2</v>
      </c>
      <c r="T17" s="42" t="s">
        <v>2</v>
      </c>
      <c r="U17" s="56" t="s">
        <v>21</v>
      </c>
      <c r="V17" s="47" t="s">
        <v>21</v>
      </c>
      <c r="W17" s="114" t="s">
        <v>1</v>
      </c>
      <c r="X17" s="71" t="s">
        <v>2</v>
      </c>
      <c r="Y17" s="40" t="s">
        <v>2</v>
      </c>
      <c r="Z17" s="59" t="s">
        <v>2</v>
      </c>
      <c r="AA17" s="40" t="s">
        <v>2</v>
      </c>
      <c r="AB17" s="114" t="s">
        <v>21</v>
      </c>
      <c r="AC17" s="74" t="s">
        <v>21</v>
      </c>
      <c r="AD17" s="323" t="s">
        <v>2</v>
      </c>
      <c r="AE17" s="370" t="s">
        <v>21</v>
      </c>
      <c r="AF17" s="81" t="s">
        <v>2</v>
      </c>
      <c r="AG17" s="169" t="s">
        <v>2</v>
      </c>
      <c r="AH17" s="81" t="s">
        <v>2</v>
      </c>
      <c r="AI17" s="271" t="s">
        <v>2</v>
      </c>
      <c r="AJ17" s="47" t="s">
        <v>21</v>
      </c>
      <c r="AK17" s="92" t="s">
        <v>2</v>
      </c>
      <c r="AL17" s="268">
        <f t="shared" si="0"/>
        <v>3</v>
      </c>
      <c r="AM17" s="25">
        <f t="shared" si="1"/>
        <v>17</v>
      </c>
      <c r="AN17" s="26">
        <f t="shared" si="3"/>
        <v>11</v>
      </c>
      <c r="AO17" s="29">
        <f t="shared" si="2"/>
        <v>14</v>
      </c>
      <c r="AP17" s="238"/>
      <c r="AQ17" s="689"/>
      <c r="AR17" s="689"/>
      <c r="AS17" s="653"/>
      <c r="AT17" s="653"/>
      <c r="AU17" s="156"/>
      <c r="AV17" s="157"/>
      <c r="AW17" s="157"/>
      <c r="AX17" s="158"/>
      <c r="AY17" s="156"/>
      <c r="AZ17" s="156"/>
      <c r="BA17" s="156"/>
      <c r="BB17" s="156"/>
      <c r="BC17" s="157"/>
      <c r="BD17" s="206"/>
      <c r="BE17" s="206"/>
      <c r="BF17" s="218"/>
      <c r="BG17" s="206"/>
      <c r="BH17" s="16"/>
      <c r="BI17" s="156"/>
      <c r="BJ17" s="157"/>
      <c r="BK17" s="206"/>
      <c r="BL17" s="218"/>
      <c r="BM17" s="218"/>
      <c r="BN17" s="218"/>
      <c r="BO17" s="206"/>
      <c r="BP17" s="203"/>
      <c r="BQ17" s="157"/>
      <c r="BR17" s="206"/>
      <c r="BS17" s="218"/>
      <c r="BT17" s="218"/>
      <c r="BU17" s="306"/>
      <c r="BV17" s="218"/>
      <c r="BW17" s="203"/>
      <c r="BX17" s="157"/>
      <c r="BY17" s="157"/>
      <c r="BZ17" s="159"/>
      <c r="CA17" s="161"/>
      <c r="CB17" s="160"/>
      <c r="CC17" s="160"/>
    </row>
    <row r="18" spans="1:83" ht="22" customHeight="1">
      <c r="A18" s="19"/>
      <c r="B18" s="301">
        <v>13</v>
      </c>
      <c r="C18" s="690" t="s">
        <v>38</v>
      </c>
      <c r="D18" s="691"/>
      <c r="E18" s="686" t="s">
        <v>31</v>
      </c>
      <c r="F18" s="686"/>
      <c r="G18" s="143" t="s">
        <v>1</v>
      </c>
      <c r="H18" s="68" t="s">
        <v>21</v>
      </c>
      <c r="I18" s="280" t="s">
        <v>2</v>
      </c>
      <c r="J18" s="40" t="s">
        <v>2</v>
      </c>
      <c r="K18" s="59" t="s">
        <v>2</v>
      </c>
      <c r="L18" s="40" t="s">
        <v>2</v>
      </c>
      <c r="M18" s="40" t="s">
        <v>2</v>
      </c>
      <c r="N18" s="312" t="s">
        <v>1</v>
      </c>
      <c r="O18" s="110" t="s">
        <v>21</v>
      </c>
      <c r="P18" s="59" t="s">
        <v>2</v>
      </c>
      <c r="Q18" s="59" t="s">
        <v>2</v>
      </c>
      <c r="R18" s="59" t="s">
        <v>2</v>
      </c>
      <c r="S18" s="57" t="s">
        <v>21</v>
      </c>
      <c r="T18" s="40" t="s">
        <v>2</v>
      </c>
      <c r="U18" s="57" t="s">
        <v>1</v>
      </c>
      <c r="V18" s="68" t="s">
        <v>21</v>
      </c>
      <c r="W18" s="59" t="s">
        <v>2</v>
      </c>
      <c r="X18" s="40" t="s">
        <v>2</v>
      </c>
      <c r="Y18" s="91" t="s">
        <v>0</v>
      </c>
      <c r="Z18" s="153" t="s">
        <v>21</v>
      </c>
      <c r="AA18" s="59" t="s">
        <v>2</v>
      </c>
      <c r="AB18" s="59" t="s">
        <v>2</v>
      </c>
      <c r="AC18" s="68" t="s">
        <v>21</v>
      </c>
      <c r="AD18" s="280" t="s">
        <v>2</v>
      </c>
      <c r="AE18" s="40" t="s">
        <v>2</v>
      </c>
      <c r="AF18" s="59" t="s">
        <v>2</v>
      </c>
      <c r="AG18" s="91" t="s">
        <v>0</v>
      </c>
      <c r="AH18" s="59" t="s">
        <v>2</v>
      </c>
      <c r="AI18" s="318" t="s">
        <v>1</v>
      </c>
      <c r="AJ18" s="110" t="s">
        <v>21</v>
      </c>
      <c r="AK18" s="147" t="s">
        <v>2</v>
      </c>
      <c r="AL18" s="268">
        <f t="shared" si="0"/>
        <v>2</v>
      </c>
      <c r="AM18" s="25">
        <f t="shared" si="1"/>
        <v>18</v>
      </c>
      <c r="AN18" s="26">
        <f t="shared" si="3"/>
        <v>11</v>
      </c>
      <c r="AO18" s="29">
        <f t="shared" si="2"/>
        <v>13</v>
      </c>
      <c r="AP18" s="238"/>
      <c r="AQ18" s="303"/>
      <c r="AR18" s="692"/>
      <c r="AS18" s="692"/>
      <c r="AT18" s="693"/>
      <c r="AU18" s="693"/>
      <c r="AV18" s="158"/>
      <c r="AW18" s="157"/>
      <c r="AX18" s="157"/>
      <c r="AY18" s="158"/>
      <c r="AZ18" s="157"/>
      <c r="BA18" s="157"/>
      <c r="BB18" s="157"/>
      <c r="BC18" s="157"/>
      <c r="BD18" s="157"/>
      <c r="BE18" s="157"/>
      <c r="BF18" s="158"/>
      <c r="BG18" s="157"/>
      <c r="BH18" s="158"/>
      <c r="BI18" s="158"/>
      <c r="BJ18" s="158"/>
      <c r="BK18" s="157"/>
      <c r="BL18" s="158"/>
      <c r="BM18" s="157"/>
      <c r="BN18" s="157"/>
      <c r="BO18" s="304"/>
      <c r="BP18" s="157"/>
      <c r="BQ18" s="157"/>
      <c r="BR18" s="157"/>
      <c r="BS18" s="157"/>
      <c r="BT18" s="158"/>
      <c r="BU18" s="157"/>
      <c r="BV18" s="299"/>
      <c r="BW18" s="157"/>
      <c r="BX18" s="158"/>
      <c r="BY18" s="157"/>
      <c r="BZ18" s="158"/>
      <c r="CA18" s="305"/>
      <c r="CB18" s="161"/>
      <c r="CC18" s="161"/>
      <c r="CD18" s="161"/>
    </row>
    <row r="19" spans="1:83" ht="22" customHeight="1" thickBot="1">
      <c r="A19" s="19"/>
      <c r="B19" s="301">
        <v>14</v>
      </c>
      <c r="C19" s="684" t="s">
        <v>200</v>
      </c>
      <c r="D19" s="685"/>
      <c r="E19" s="694" t="s">
        <v>31</v>
      </c>
      <c r="F19" s="695"/>
      <c r="G19" s="66" t="s">
        <v>2</v>
      </c>
      <c r="H19" s="89" t="s">
        <v>21</v>
      </c>
      <c r="I19" s="274" t="s">
        <v>2</v>
      </c>
      <c r="J19" s="321" t="s">
        <v>2</v>
      </c>
      <c r="K19" s="275" t="s">
        <v>2</v>
      </c>
      <c r="L19" s="385" t="s">
        <v>21</v>
      </c>
      <c r="M19" s="372" t="s">
        <v>1</v>
      </c>
      <c r="N19" s="315" t="s">
        <v>1</v>
      </c>
      <c r="O19" s="74" t="s">
        <v>21</v>
      </c>
      <c r="P19" s="40" t="s">
        <v>2</v>
      </c>
      <c r="Q19" s="59" t="s">
        <v>2</v>
      </c>
      <c r="R19" s="59" t="s">
        <v>2</v>
      </c>
      <c r="S19" s="59" t="s">
        <v>2</v>
      </c>
      <c r="T19" s="114" t="s">
        <v>21</v>
      </c>
      <c r="U19" s="40" t="s">
        <v>2</v>
      </c>
      <c r="V19" s="89" t="s">
        <v>21</v>
      </c>
      <c r="W19" s="121" t="s">
        <v>2</v>
      </c>
      <c r="X19" s="248" t="s">
        <v>40</v>
      </c>
      <c r="Y19" s="121" t="s">
        <v>2</v>
      </c>
      <c r="Z19" s="44" t="s">
        <v>2</v>
      </c>
      <c r="AA19" s="44" t="s">
        <v>2</v>
      </c>
      <c r="AB19" s="114" t="s">
        <v>21</v>
      </c>
      <c r="AC19" s="89" t="s">
        <v>21</v>
      </c>
      <c r="AD19" s="274" t="s">
        <v>2</v>
      </c>
      <c r="AE19" s="275" t="s">
        <v>2</v>
      </c>
      <c r="AF19" s="327" t="s">
        <v>0</v>
      </c>
      <c r="AG19" s="321" t="s">
        <v>2</v>
      </c>
      <c r="AH19" s="321" t="s">
        <v>2</v>
      </c>
      <c r="AI19" s="315" t="s">
        <v>21</v>
      </c>
      <c r="AJ19" s="74" t="s">
        <v>21</v>
      </c>
      <c r="AK19" s="147" t="s">
        <v>2</v>
      </c>
      <c r="AL19" s="268">
        <f t="shared" si="0"/>
        <v>2</v>
      </c>
      <c r="AM19" s="25">
        <f t="shared" si="1"/>
        <v>18</v>
      </c>
      <c r="AN19" s="26">
        <f t="shared" si="3"/>
        <v>11</v>
      </c>
      <c r="AO19" s="29">
        <f t="shared" si="2"/>
        <v>13</v>
      </c>
      <c r="AP19" s="10"/>
      <c r="AQ19" s="689"/>
      <c r="AR19" s="689"/>
      <c r="AS19" s="653"/>
      <c r="AT19" s="653"/>
      <c r="AU19" s="304"/>
      <c r="AV19" s="158"/>
      <c r="AW19" s="158"/>
      <c r="AX19" s="158"/>
      <c r="AY19" s="157"/>
      <c r="AZ19" s="157"/>
      <c r="BA19" s="158"/>
      <c r="BB19" s="156"/>
      <c r="BC19" s="158"/>
      <c r="BD19" s="158"/>
      <c r="BE19" s="489"/>
      <c r="BF19" s="157"/>
      <c r="BG19" s="156"/>
      <c r="BH19" s="158"/>
      <c r="BI19" s="158"/>
      <c r="BJ19" s="489"/>
      <c r="BK19" s="157"/>
      <c r="BL19" s="158"/>
      <c r="BM19" s="157"/>
      <c r="BN19" s="158"/>
      <c r="BO19" s="158"/>
      <c r="BP19" s="203"/>
      <c r="BQ19" s="158"/>
      <c r="BR19" s="304"/>
      <c r="BS19" s="304"/>
      <c r="BT19" s="157"/>
      <c r="BU19" s="156"/>
      <c r="BV19" s="158"/>
      <c r="BW19" s="156"/>
      <c r="BX19" s="158"/>
      <c r="BY19" s="158"/>
      <c r="BZ19" s="159"/>
      <c r="CA19" s="161"/>
      <c r="CB19" s="160"/>
      <c r="CC19" s="160"/>
    </row>
    <row r="20" spans="1:83" ht="22" customHeight="1">
      <c r="A20" s="19">
        <v>5</v>
      </c>
      <c r="B20" s="301">
        <v>15</v>
      </c>
      <c r="C20" s="684" t="s">
        <v>26</v>
      </c>
      <c r="D20" s="685"/>
      <c r="E20" s="686" t="s">
        <v>31</v>
      </c>
      <c r="F20" s="686"/>
      <c r="G20" s="398" t="s">
        <v>2</v>
      </c>
      <c r="H20" s="74" t="s">
        <v>21</v>
      </c>
      <c r="I20" s="71" t="s">
        <v>2</v>
      </c>
      <c r="J20" s="42" t="s">
        <v>2</v>
      </c>
      <c r="K20" s="71" t="s">
        <v>2</v>
      </c>
      <c r="L20" s="71" t="s">
        <v>2</v>
      </c>
      <c r="M20" s="42" t="s">
        <v>2</v>
      </c>
      <c r="N20" s="170" t="s">
        <v>1</v>
      </c>
      <c r="O20" s="89" t="s">
        <v>21</v>
      </c>
      <c r="P20" s="391" t="s">
        <v>2</v>
      </c>
      <c r="Q20" s="111" t="s">
        <v>0</v>
      </c>
      <c r="R20" s="59" t="s">
        <v>2</v>
      </c>
      <c r="S20" s="59" t="s">
        <v>2</v>
      </c>
      <c r="T20" s="59" t="s">
        <v>2</v>
      </c>
      <c r="U20" s="57" t="s">
        <v>21</v>
      </c>
      <c r="V20" s="89" t="s">
        <v>21</v>
      </c>
      <c r="W20" s="283" t="s">
        <v>21</v>
      </c>
      <c r="X20" s="169" t="s">
        <v>2</v>
      </c>
      <c r="Y20" s="358" t="s">
        <v>0</v>
      </c>
      <c r="Z20" s="169" t="s">
        <v>2</v>
      </c>
      <c r="AA20" s="169" t="s">
        <v>2</v>
      </c>
      <c r="AB20" s="287" t="s">
        <v>2</v>
      </c>
      <c r="AC20" s="74" t="s">
        <v>21</v>
      </c>
      <c r="AD20" s="71" t="s">
        <v>2</v>
      </c>
      <c r="AE20" s="71" t="s">
        <v>2</v>
      </c>
      <c r="AF20" s="71" t="s">
        <v>2</v>
      </c>
      <c r="AG20" s="42" t="s">
        <v>2</v>
      </c>
      <c r="AH20" s="153" t="s">
        <v>1</v>
      </c>
      <c r="AI20" s="170" t="s">
        <v>21</v>
      </c>
      <c r="AJ20" s="89" t="s">
        <v>21</v>
      </c>
      <c r="AK20" s="375" t="s">
        <v>1</v>
      </c>
      <c r="AL20" s="268">
        <f t="shared" si="0"/>
        <v>2</v>
      </c>
      <c r="AM20" s="25">
        <f t="shared" si="1"/>
        <v>18</v>
      </c>
      <c r="AN20" s="26">
        <f t="shared" si="3"/>
        <v>11</v>
      </c>
      <c r="AO20" s="29">
        <f t="shared" si="2"/>
        <v>13</v>
      </c>
      <c r="AP20" s="10"/>
      <c r="AQ20" s="652"/>
      <c r="AR20" s="652"/>
      <c r="AS20" s="653"/>
      <c r="AT20" s="653"/>
      <c r="AU20" s="203"/>
      <c r="AV20" s="158"/>
      <c r="AW20" s="157"/>
      <c r="AX20" s="158"/>
      <c r="AY20" s="158"/>
      <c r="AZ20" s="157"/>
      <c r="BA20" s="157"/>
      <c r="BB20" s="203"/>
      <c r="BC20" s="158"/>
      <c r="BD20" s="157"/>
      <c r="BE20" s="156"/>
      <c r="BF20" s="158"/>
      <c r="BG20" s="158"/>
      <c r="BH20" s="157"/>
      <c r="BI20" s="158"/>
      <c r="BJ20" s="158"/>
      <c r="BK20" s="158"/>
      <c r="BL20" s="158"/>
      <c r="BM20" s="158"/>
      <c r="BN20" s="158"/>
      <c r="BO20" s="158"/>
      <c r="BP20" s="203"/>
      <c r="BQ20" s="158"/>
      <c r="BR20" s="157"/>
      <c r="BS20" s="158"/>
      <c r="BT20" s="158"/>
      <c r="BU20" s="158"/>
      <c r="BV20" s="156"/>
      <c r="BW20" s="158"/>
      <c r="BX20" s="158"/>
      <c r="BY20" s="156"/>
      <c r="BZ20" s="159"/>
      <c r="CA20" s="161"/>
      <c r="CB20" s="160"/>
      <c r="CC20" s="160"/>
    </row>
    <row r="21" spans="1:83" ht="22" customHeight="1">
      <c r="A21" s="19">
        <v>6</v>
      </c>
      <c r="B21" s="301">
        <v>16</v>
      </c>
      <c r="C21" s="687" t="s">
        <v>45</v>
      </c>
      <c r="D21" s="688"/>
      <c r="E21" s="686" t="s">
        <v>31</v>
      </c>
      <c r="F21" s="686"/>
      <c r="G21" s="481" t="s">
        <v>21</v>
      </c>
      <c r="H21" s="74" t="s">
        <v>1</v>
      </c>
      <c r="I21" s="91" t="s">
        <v>40</v>
      </c>
      <c r="J21" s="40" t="s">
        <v>2</v>
      </c>
      <c r="K21" s="57" t="s">
        <v>1</v>
      </c>
      <c r="L21" s="59" t="s">
        <v>2</v>
      </c>
      <c r="M21" s="40" t="s">
        <v>2</v>
      </c>
      <c r="N21" s="40" t="s">
        <v>2</v>
      </c>
      <c r="O21" s="74" t="s">
        <v>1</v>
      </c>
      <c r="P21" s="391" t="s">
        <v>2</v>
      </c>
      <c r="Q21" s="40" t="s">
        <v>2</v>
      </c>
      <c r="R21" s="40" t="s">
        <v>2</v>
      </c>
      <c r="S21" s="57" t="s">
        <v>21</v>
      </c>
      <c r="T21" s="40" t="s">
        <v>2</v>
      </c>
      <c r="U21" s="57" t="s">
        <v>1</v>
      </c>
      <c r="V21" s="74" t="s">
        <v>1</v>
      </c>
      <c r="W21" s="285" t="s">
        <v>2</v>
      </c>
      <c r="X21" s="40" t="s">
        <v>2</v>
      </c>
      <c r="Y21" s="40" t="s">
        <v>2</v>
      </c>
      <c r="Z21" s="111" t="s">
        <v>0</v>
      </c>
      <c r="AA21" s="40" t="s">
        <v>2</v>
      </c>
      <c r="AB21" s="313" t="s">
        <v>2</v>
      </c>
      <c r="AC21" s="74" t="s">
        <v>1</v>
      </c>
      <c r="AD21" s="40" t="s">
        <v>2</v>
      </c>
      <c r="AE21" s="40" t="s">
        <v>2</v>
      </c>
      <c r="AF21" s="57" t="s">
        <v>21</v>
      </c>
      <c r="AG21" s="40" t="s">
        <v>2</v>
      </c>
      <c r="AH21" s="40" t="s">
        <v>2</v>
      </c>
      <c r="AI21" s="57" t="s">
        <v>21</v>
      </c>
      <c r="AJ21" s="74" t="s">
        <v>1</v>
      </c>
      <c r="AK21" s="65" t="s">
        <v>2</v>
      </c>
      <c r="AL21" s="268">
        <f t="shared" si="0"/>
        <v>2</v>
      </c>
      <c r="AM21" s="25">
        <f t="shared" si="1"/>
        <v>18</v>
      </c>
      <c r="AN21" s="26">
        <f t="shared" si="3"/>
        <v>11</v>
      </c>
      <c r="AO21" s="29">
        <f t="shared" si="2"/>
        <v>13</v>
      </c>
      <c r="AP21" s="10"/>
      <c r="AQ21" s="689"/>
      <c r="AR21" s="689"/>
      <c r="AS21" s="653"/>
      <c r="AT21" s="653"/>
      <c r="AU21" s="304"/>
      <c r="AV21" s="158"/>
      <c r="AW21" s="158"/>
      <c r="AX21" s="158"/>
      <c r="AY21" s="157"/>
      <c r="AZ21" s="157"/>
      <c r="BA21" s="158"/>
      <c r="BB21" s="156"/>
      <c r="BC21" s="158"/>
      <c r="BD21" s="158"/>
      <c r="BE21" s="489"/>
      <c r="BF21" s="157"/>
      <c r="BG21" s="156"/>
      <c r="BH21" s="158"/>
      <c r="BI21" s="158"/>
      <c r="BJ21" s="489"/>
      <c r="BK21" s="157"/>
      <c r="BL21" s="158"/>
      <c r="BM21" s="157"/>
      <c r="BN21" s="158"/>
      <c r="BO21" s="158"/>
      <c r="BP21" s="203"/>
      <c r="BQ21" s="158"/>
      <c r="BR21" s="304"/>
      <c r="BS21" s="304"/>
      <c r="BT21" s="157"/>
      <c r="BU21" s="156"/>
      <c r="BV21" s="158"/>
      <c r="BW21" s="156"/>
      <c r="BX21" s="158"/>
      <c r="BY21" s="189"/>
    </row>
    <row r="22" spans="1:83" ht="22" customHeight="1">
      <c r="A22" s="19"/>
      <c r="B22" s="301">
        <v>17</v>
      </c>
      <c r="C22" s="682" t="s">
        <v>95</v>
      </c>
      <c r="D22" s="683"/>
      <c r="E22" s="673" t="s">
        <v>31</v>
      </c>
      <c r="F22" s="674"/>
      <c r="G22" s="561" t="s">
        <v>21</v>
      </c>
      <c r="H22" s="110" t="s">
        <v>21</v>
      </c>
      <c r="I22" s="59" t="s">
        <v>2</v>
      </c>
      <c r="J22" s="40" t="s">
        <v>2</v>
      </c>
      <c r="K22" s="59" t="s">
        <v>2</v>
      </c>
      <c r="L22" s="111" t="s">
        <v>0</v>
      </c>
      <c r="M22" s="111" t="s">
        <v>40</v>
      </c>
      <c r="N22" s="153" t="s">
        <v>1</v>
      </c>
      <c r="O22" s="110" t="s">
        <v>1</v>
      </c>
      <c r="P22" s="111" t="s">
        <v>40</v>
      </c>
      <c r="Q22" s="40" t="s">
        <v>2</v>
      </c>
      <c r="R22" s="59" t="s">
        <v>2</v>
      </c>
      <c r="S22" s="59" t="s">
        <v>2</v>
      </c>
      <c r="T22" s="59" t="s">
        <v>2</v>
      </c>
      <c r="U22" s="40" t="s">
        <v>2</v>
      </c>
      <c r="V22" s="110" t="s">
        <v>21</v>
      </c>
      <c r="W22" s="280" t="s">
        <v>2</v>
      </c>
      <c r="X22" s="57" t="s">
        <v>1</v>
      </c>
      <c r="Y22" s="59" t="s">
        <v>2</v>
      </c>
      <c r="Z22" s="40" t="s">
        <v>2</v>
      </c>
      <c r="AA22" s="59" t="s">
        <v>2</v>
      </c>
      <c r="AB22" s="272" t="s">
        <v>1</v>
      </c>
      <c r="AC22" s="110" t="s">
        <v>21</v>
      </c>
      <c r="AD22" s="111" t="s">
        <v>0</v>
      </c>
      <c r="AE22" s="57" t="s">
        <v>1</v>
      </c>
      <c r="AF22" s="59" t="s">
        <v>2</v>
      </c>
      <c r="AG22" s="40" t="s">
        <v>2</v>
      </c>
      <c r="AH22" s="59" t="s">
        <v>2</v>
      </c>
      <c r="AI22" s="114" t="s">
        <v>21</v>
      </c>
      <c r="AJ22" s="110" t="s">
        <v>21</v>
      </c>
      <c r="AK22" s="147" t="s">
        <v>2</v>
      </c>
      <c r="AL22" s="268">
        <f t="shared" si="0"/>
        <v>4</v>
      </c>
      <c r="AM22" s="25">
        <f t="shared" si="1"/>
        <v>16</v>
      </c>
      <c r="AN22" s="26">
        <f t="shared" si="3"/>
        <v>11</v>
      </c>
      <c r="AO22" s="29">
        <f t="shared" si="2"/>
        <v>15</v>
      </c>
      <c r="AP22" s="238"/>
      <c r="AR22" s="96"/>
      <c r="AS22" s="96"/>
    </row>
    <row r="23" spans="1:83" ht="22" customHeight="1" thickBot="1">
      <c r="A23" s="19"/>
      <c r="B23" s="54">
        <v>18</v>
      </c>
      <c r="C23" s="675" t="s">
        <v>48</v>
      </c>
      <c r="D23" s="676"/>
      <c r="E23" s="677" t="s">
        <v>31</v>
      </c>
      <c r="F23" s="677"/>
      <c r="G23" s="560" t="s">
        <v>1</v>
      </c>
      <c r="H23" s="46" t="s">
        <v>21</v>
      </c>
      <c r="I23" s="43" t="s">
        <v>2</v>
      </c>
      <c r="J23" s="50" t="s">
        <v>21</v>
      </c>
      <c r="K23" s="43" t="s">
        <v>2</v>
      </c>
      <c r="L23" s="93" t="s">
        <v>2</v>
      </c>
      <c r="M23" s="43" t="s">
        <v>2</v>
      </c>
      <c r="N23" s="43" t="s">
        <v>2</v>
      </c>
      <c r="O23" s="93" t="s">
        <v>21</v>
      </c>
      <c r="P23" s="43" t="s">
        <v>2</v>
      </c>
      <c r="Q23" s="93" t="s">
        <v>2</v>
      </c>
      <c r="R23" s="194" t="s">
        <v>21</v>
      </c>
      <c r="S23" s="43" t="s">
        <v>2</v>
      </c>
      <c r="T23" s="43" t="s">
        <v>2</v>
      </c>
      <c r="U23" s="50" t="s">
        <v>1</v>
      </c>
      <c r="V23" s="168" t="s">
        <v>21</v>
      </c>
      <c r="W23" s="540" t="s">
        <v>21</v>
      </c>
      <c r="X23" s="321" t="s">
        <v>2</v>
      </c>
      <c r="Y23" s="321" t="s">
        <v>2</v>
      </c>
      <c r="Z23" s="321" t="s">
        <v>2</v>
      </c>
      <c r="AA23" s="275" t="s">
        <v>2</v>
      </c>
      <c r="AB23" s="373" t="s">
        <v>21</v>
      </c>
      <c r="AC23" s="46" t="s">
        <v>21</v>
      </c>
      <c r="AD23" s="43" t="s">
        <v>2</v>
      </c>
      <c r="AE23" s="43" t="s">
        <v>2</v>
      </c>
      <c r="AF23" s="43" t="s">
        <v>2</v>
      </c>
      <c r="AG23" s="196" t="s">
        <v>40</v>
      </c>
      <c r="AH23" s="43" t="s">
        <v>2</v>
      </c>
      <c r="AI23" s="43" t="s">
        <v>2</v>
      </c>
      <c r="AJ23" s="93" t="s">
        <v>21</v>
      </c>
      <c r="AK23" s="132" t="s">
        <v>2</v>
      </c>
      <c r="AL23" s="369">
        <f t="shared" si="0"/>
        <v>1</v>
      </c>
      <c r="AM23" s="260">
        <f t="shared" si="1"/>
        <v>19</v>
      </c>
      <c r="AN23" s="32">
        <f t="shared" si="3"/>
        <v>11</v>
      </c>
      <c r="AO23" s="29">
        <f t="shared" si="2"/>
        <v>12</v>
      </c>
      <c r="AP23" s="10"/>
      <c r="AR23" s="300"/>
      <c r="AS23" s="652"/>
      <c r="AT23" s="652"/>
      <c r="AU23" s="653"/>
      <c r="AV23" s="653"/>
      <c r="AW23" s="203"/>
      <c r="AX23" s="157"/>
      <c r="AY23" s="157"/>
      <c r="AZ23" s="298"/>
      <c r="BA23" s="157"/>
      <c r="BB23" s="156"/>
      <c r="BC23" s="157"/>
      <c r="BD23" s="157"/>
      <c r="BE23" s="157"/>
      <c r="BF23" s="204"/>
      <c r="BG23" s="157"/>
      <c r="BH23" s="157"/>
      <c r="BI23" s="298"/>
      <c r="BJ23" s="157"/>
      <c r="BK23" s="157"/>
      <c r="BL23" s="157"/>
      <c r="BM23" s="204"/>
      <c r="BN23" s="156"/>
      <c r="BO23" s="157"/>
      <c r="BP23" s="157"/>
      <c r="BQ23" s="157"/>
      <c r="BR23" s="203"/>
      <c r="BS23" s="157"/>
      <c r="BT23" s="157"/>
      <c r="BU23" s="158"/>
      <c r="BV23" s="157"/>
      <c r="BW23" s="299"/>
      <c r="BX23" s="157"/>
      <c r="BY23" s="157"/>
      <c r="BZ23" s="157"/>
      <c r="CA23" s="157"/>
      <c r="CB23" s="159"/>
      <c r="CC23" s="161"/>
      <c r="CD23" s="160"/>
      <c r="CE23" s="160"/>
    </row>
    <row r="24" spans="1:83" ht="22" customHeight="1">
      <c r="A24" s="19"/>
      <c r="B24" s="416">
        <v>19</v>
      </c>
      <c r="C24" s="678" t="s">
        <v>197</v>
      </c>
      <c r="D24" s="679"/>
      <c r="E24" s="680" t="s">
        <v>94</v>
      </c>
      <c r="F24" s="681"/>
      <c r="G24" s="485" t="s">
        <v>21</v>
      </c>
      <c r="H24" s="291" t="s">
        <v>1</v>
      </c>
      <c r="I24" s="49" t="s">
        <v>2</v>
      </c>
      <c r="J24" s="49" t="s">
        <v>2</v>
      </c>
      <c r="K24" s="115" t="s">
        <v>2</v>
      </c>
      <c r="L24" s="49" t="s">
        <v>2</v>
      </c>
      <c r="M24" s="115" t="s">
        <v>2</v>
      </c>
      <c r="N24" s="216" t="s">
        <v>21</v>
      </c>
      <c r="O24" s="291" t="s">
        <v>1</v>
      </c>
      <c r="P24" s="115" t="s">
        <v>2</v>
      </c>
      <c r="Q24" s="49" t="s">
        <v>2</v>
      </c>
      <c r="R24" s="115" t="s">
        <v>2</v>
      </c>
      <c r="S24" s="49" t="s">
        <v>2</v>
      </c>
      <c r="T24" s="115" t="s">
        <v>2</v>
      </c>
      <c r="U24" s="216" t="s">
        <v>21</v>
      </c>
      <c r="V24" s="291" t="s">
        <v>1</v>
      </c>
      <c r="W24" s="216" t="s">
        <v>21</v>
      </c>
      <c r="X24" s="49" t="s">
        <v>2</v>
      </c>
      <c r="Y24" s="115" t="s">
        <v>2</v>
      </c>
      <c r="Z24" s="49" t="s">
        <v>2</v>
      </c>
      <c r="AA24" s="518" t="s">
        <v>40</v>
      </c>
      <c r="AB24" s="216" t="s">
        <v>21</v>
      </c>
      <c r="AC24" s="291" t="s">
        <v>1</v>
      </c>
      <c r="AD24" s="518" t="s">
        <v>40</v>
      </c>
      <c r="AE24" s="49" t="s">
        <v>2</v>
      </c>
      <c r="AF24" s="115" t="s">
        <v>2</v>
      </c>
      <c r="AG24" s="49" t="s">
        <v>2</v>
      </c>
      <c r="AH24" s="115" t="s">
        <v>2</v>
      </c>
      <c r="AI24" s="104" t="s">
        <v>21</v>
      </c>
      <c r="AJ24" s="291" t="s">
        <v>1</v>
      </c>
      <c r="AK24" s="554" t="s">
        <v>2</v>
      </c>
      <c r="AL24" s="532">
        <f t="shared" si="0"/>
        <v>2</v>
      </c>
      <c r="AM24" s="533">
        <f t="shared" si="1"/>
        <v>18</v>
      </c>
      <c r="AN24" s="534">
        <f t="shared" si="3"/>
        <v>11</v>
      </c>
      <c r="AO24" s="535">
        <f t="shared" si="2"/>
        <v>13</v>
      </c>
      <c r="AP24" s="10"/>
      <c r="AR24" s="652"/>
      <c r="AS24" s="652"/>
      <c r="AT24" s="653"/>
      <c r="AU24" s="653"/>
      <c r="AV24" s="203"/>
      <c r="AW24" s="157"/>
      <c r="AX24" s="157"/>
      <c r="AY24" s="298"/>
      <c r="AZ24" s="157"/>
      <c r="BA24" s="156"/>
      <c r="BB24" s="157"/>
      <c r="BC24" s="203"/>
      <c r="BD24" s="157"/>
      <c r="BE24" s="204"/>
      <c r="BF24" s="298"/>
      <c r="BG24" s="157"/>
      <c r="BH24" s="158"/>
      <c r="BI24" s="157"/>
      <c r="BJ24" s="298"/>
      <c r="BK24" s="157"/>
      <c r="BL24" s="204"/>
      <c r="BM24" s="156"/>
      <c r="BN24" s="157"/>
      <c r="BO24" s="298"/>
      <c r="BP24" s="157"/>
      <c r="BQ24" s="156"/>
      <c r="BR24" s="157"/>
      <c r="BS24" s="157"/>
      <c r="BT24" s="156"/>
      <c r="BU24" s="157"/>
      <c r="BV24" s="299"/>
      <c r="BW24" s="157"/>
      <c r="BX24" s="203"/>
      <c r="BY24" s="157"/>
      <c r="BZ24" s="157"/>
      <c r="CA24" s="159"/>
      <c r="CB24" s="161"/>
      <c r="CC24" s="160"/>
      <c r="CD24" s="160"/>
    </row>
    <row r="25" spans="1:83" ht="22.5" customHeight="1">
      <c r="A25" s="659"/>
      <c r="B25" s="660" t="s">
        <v>3</v>
      </c>
      <c r="C25" s="661"/>
      <c r="D25" s="661"/>
      <c r="E25" s="662"/>
      <c r="F25" s="552" t="s">
        <v>2</v>
      </c>
      <c r="G25" s="512">
        <f>COUNTIF(G6:G24,"D")</f>
        <v>6</v>
      </c>
      <c r="H25" s="386">
        <f>COUNTIF(H6:H24,"D")</f>
        <v>0</v>
      </c>
      <c r="I25" s="526">
        <v>14</v>
      </c>
      <c r="J25" s="386">
        <f>COUNTIF(J6:J24,"D")</f>
        <v>15</v>
      </c>
      <c r="K25" s="386">
        <f>COUNTIF(K6:K24,"D")</f>
        <v>15</v>
      </c>
      <c r="L25" s="526" t="s">
        <v>75</v>
      </c>
      <c r="M25" s="386">
        <f t="shared" ref="M25:S25" si="4">COUNTIF(M6:M24,"D")</f>
        <v>15</v>
      </c>
      <c r="N25" s="386">
        <f t="shared" si="4"/>
        <v>6</v>
      </c>
      <c r="O25" s="386">
        <f t="shared" si="4"/>
        <v>0</v>
      </c>
      <c r="P25" s="386">
        <f t="shared" si="4"/>
        <v>14</v>
      </c>
      <c r="Q25" s="386">
        <f t="shared" si="4"/>
        <v>16</v>
      </c>
      <c r="R25" s="386">
        <f t="shared" si="4"/>
        <v>13</v>
      </c>
      <c r="S25" s="386">
        <f t="shared" si="4"/>
        <v>15</v>
      </c>
      <c r="T25" s="526">
        <v>17</v>
      </c>
      <c r="U25" s="386">
        <f>COUNTIF(U6:U24,"D")</f>
        <v>6</v>
      </c>
      <c r="V25" s="386">
        <f>COUNTIF(V6:V24,"D")</f>
        <v>0</v>
      </c>
      <c r="W25" s="386">
        <f>COUNTIF(W6:W24,"D")</f>
        <v>9</v>
      </c>
      <c r="X25" s="526" t="s">
        <v>77</v>
      </c>
      <c r="Y25" s="386">
        <f>COUNTIF(Y6:Y24,"D")</f>
        <v>15</v>
      </c>
      <c r="Z25" s="526" t="s">
        <v>77</v>
      </c>
      <c r="AA25" s="526" t="s">
        <v>113</v>
      </c>
      <c r="AB25" s="386">
        <f>COUNTIF(AB6:AB24,"D")</f>
        <v>6</v>
      </c>
      <c r="AC25" s="386">
        <f>COUNTIF(AC6:AC24,"D")</f>
        <v>0</v>
      </c>
      <c r="AD25" s="386">
        <f>COUNTIF(AD6:AD24,"D")</f>
        <v>15</v>
      </c>
      <c r="AE25" s="526" t="s">
        <v>113</v>
      </c>
      <c r="AF25" s="526" t="s">
        <v>75</v>
      </c>
      <c r="AG25" s="526">
        <v>16</v>
      </c>
      <c r="AH25" s="386">
        <f>COUNTIF(AH6:AH24,"D")</f>
        <v>15</v>
      </c>
      <c r="AI25" s="386">
        <f>COUNTIF(AI6:AI24,"D")</f>
        <v>6</v>
      </c>
      <c r="AJ25" s="386">
        <f>COUNTIF(AJ6:AJ24,"D")</f>
        <v>0</v>
      </c>
      <c r="AK25" s="526">
        <v>16</v>
      </c>
      <c r="AL25" s="307">
        <f t="shared" si="0"/>
        <v>0</v>
      </c>
      <c r="AM25" s="293">
        <f t="shared" si="1"/>
        <v>0</v>
      </c>
      <c r="AN25" s="294">
        <f t="shared" si="3"/>
        <v>0</v>
      </c>
      <c r="AO25" s="295">
        <f t="shared" si="2"/>
        <v>0</v>
      </c>
      <c r="AP25" s="10"/>
    </row>
    <row r="26" spans="1:83" ht="22.5" customHeight="1">
      <c r="A26" s="659"/>
      <c r="B26" s="663" t="s">
        <v>4</v>
      </c>
      <c r="C26" s="664"/>
      <c r="D26" s="664"/>
      <c r="E26" s="665"/>
      <c r="F26" s="2" t="s">
        <v>1</v>
      </c>
      <c r="G26" s="14">
        <f t="shared" ref="G26:S26" si="5">COUNTIF(G6:G24,"●")</f>
        <v>13</v>
      </c>
      <c r="H26" s="14">
        <f t="shared" si="5"/>
        <v>19</v>
      </c>
      <c r="I26" s="14">
        <f t="shared" si="5"/>
        <v>3</v>
      </c>
      <c r="J26" s="14">
        <f t="shared" si="5"/>
        <v>3</v>
      </c>
      <c r="K26" s="14">
        <f t="shared" si="5"/>
        <v>1</v>
      </c>
      <c r="L26" s="14">
        <f t="shared" si="5"/>
        <v>2</v>
      </c>
      <c r="M26" s="14">
        <f t="shared" si="5"/>
        <v>3</v>
      </c>
      <c r="N26" s="14">
        <f t="shared" si="5"/>
        <v>13</v>
      </c>
      <c r="O26" s="14">
        <f t="shared" si="5"/>
        <v>19</v>
      </c>
      <c r="P26" s="14">
        <f t="shared" si="5"/>
        <v>2</v>
      </c>
      <c r="Q26" s="14">
        <f t="shared" si="5"/>
        <v>1</v>
      </c>
      <c r="R26" s="14">
        <f t="shared" si="5"/>
        <v>3</v>
      </c>
      <c r="S26" s="14">
        <f t="shared" si="5"/>
        <v>4</v>
      </c>
      <c r="T26" s="14">
        <v>1</v>
      </c>
      <c r="U26" s="14">
        <f>COUNTIF(U6:U24,"●")</f>
        <v>13</v>
      </c>
      <c r="V26" s="14">
        <f>COUNTIF(V6:V24,"●")</f>
        <v>19</v>
      </c>
      <c r="W26" s="14">
        <f>COUNTIF(W6:W24,"●")</f>
        <v>9</v>
      </c>
      <c r="X26" s="345" t="s">
        <v>65</v>
      </c>
      <c r="Y26" s="14">
        <f t="shared" ref="Y26:AE26" si="6">COUNTIF(Y6:Y24,"●")</f>
        <v>2</v>
      </c>
      <c r="Z26" s="14">
        <f t="shared" si="6"/>
        <v>1</v>
      </c>
      <c r="AA26" s="14">
        <f t="shared" si="6"/>
        <v>2</v>
      </c>
      <c r="AB26" s="14">
        <f t="shared" si="6"/>
        <v>13</v>
      </c>
      <c r="AC26" s="14">
        <f t="shared" si="6"/>
        <v>19</v>
      </c>
      <c r="AD26" s="14">
        <f t="shared" si="6"/>
        <v>1</v>
      </c>
      <c r="AE26" s="14">
        <f t="shared" si="6"/>
        <v>3</v>
      </c>
      <c r="AF26" s="345" t="s">
        <v>66</v>
      </c>
      <c r="AG26" s="345">
        <v>1</v>
      </c>
      <c r="AH26" s="14">
        <f>COUNTIF(AH6:AH24,"●")</f>
        <v>1</v>
      </c>
      <c r="AI26" s="14">
        <f>COUNTIF(AI6:AI24,"●")</f>
        <v>12</v>
      </c>
      <c r="AJ26" s="14">
        <f>COUNTIF(AJ6:AJ24,"●")</f>
        <v>18</v>
      </c>
      <c r="AK26" s="345">
        <v>1</v>
      </c>
      <c r="AL26" s="666" t="s">
        <v>619</v>
      </c>
      <c r="AM26" s="667"/>
      <c r="AN26" s="667"/>
      <c r="AO26" s="668"/>
      <c r="AP26" s="10"/>
    </row>
    <row r="27" spans="1:83" ht="22.5" customHeight="1" thickBot="1">
      <c r="A27" s="669"/>
      <c r="B27" s="670" t="s">
        <v>5</v>
      </c>
      <c r="C27" s="671"/>
      <c r="D27" s="671"/>
      <c r="E27" s="672"/>
      <c r="F27" s="3" t="s">
        <v>0</v>
      </c>
      <c r="G27" s="14">
        <f>COUNTIF(G6:G24,"▲")</f>
        <v>0</v>
      </c>
      <c r="H27" s="14">
        <f>COUNTIF(H6:H24,"▲")</f>
        <v>0</v>
      </c>
      <c r="I27" s="345">
        <v>2</v>
      </c>
      <c r="J27" s="14">
        <f>COUNTIF(J6:J24,"▲")</f>
        <v>1</v>
      </c>
      <c r="K27" s="14">
        <f>COUNTIF(K6:K24,"▲")</f>
        <v>3</v>
      </c>
      <c r="L27" s="345" t="s">
        <v>65</v>
      </c>
      <c r="M27" s="14">
        <f t="shared" ref="M27:S27" si="7">COUNTIF(M6:M24,"▲")</f>
        <v>1</v>
      </c>
      <c r="N27" s="14">
        <f t="shared" si="7"/>
        <v>0</v>
      </c>
      <c r="O27" s="14">
        <f t="shared" si="7"/>
        <v>0</v>
      </c>
      <c r="P27" s="14">
        <f t="shared" si="7"/>
        <v>3</v>
      </c>
      <c r="Q27" s="14">
        <f t="shared" si="7"/>
        <v>2</v>
      </c>
      <c r="R27" s="14">
        <f t="shared" si="7"/>
        <v>3</v>
      </c>
      <c r="S27" s="14">
        <f t="shared" si="7"/>
        <v>0</v>
      </c>
      <c r="T27" s="345">
        <v>1</v>
      </c>
      <c r="U27" s="14">
        <f>COUNTIF(U6:U24,"▲")</f>
        <v>0</v>
      </c>
      <c r="V27" s="14">
        <f>COUNTIF(V6:V24,"▲")</f>
        <v>0</v>
      </c>
      <c r="W27" s="14">
        <f>COUNTIF(W6:W24,"▲")</f>
        <v>1</v>
      </c>
      <c r="X27" s="345">
        <v>1</v>
      </c>
      <c r="Y27" s="14">
        <f>COUNTIF(Y6:Y24,"▲")</f>
        <v>2</v>
      </c>
      <c r="Z27" s="345" t="s">
        <v>65</v>
      </c>
      <c r="AA27" s="345" t="s">
        <v>84</v>
      </c>
      <c r="AB27" s="14">
        <f>COUNTIF(AB6:AB24,"▲")</f>
        <v>0</v>
      </c>
      <c r="AC27" s="14">
        <f>COUNTIF(AC6:AC24,"▲")</f>
        <v>0</v>
      </c>
      <c r="AD27" s="14">
        <f>COUNTIF(AD6:AD24,"▲")</f>
        <v>3</v>
      </c>
      <c r="AE27" s="345" t="s">
        <v>65</v>
      </c>
      <c r="AF27" s="14">
        <f t="shared" ref="AF27:AK27" si="8">COUNTIF(AF6:AF24,"▲")</f>
        <v>2</v>
      </c>
      <c r="AG27" s="14">
        <f t="shared" si="8"/>
        <v>2</v>
      </c>
      <c r="AH27" s="14">
        <f t="shared" si="8"/>
        <v>2</v>
      </c>
      <c r="AI27" s="14">
        <f t="shared" si="8"/>
        <v>0</v>
      </c>
      <c r="AJ27" s="14">
        <f t="shared" si="8"/>
        <v>0</v>
      </c>
      <c r="AK27" s="14">
        <f t="shared" si="8"/>
        <v>1</v>
      </c>
      <c r="AL27" s="52" t="s">
        <v>19</v>
      </c>
      <c r="AM27" s="649" t="s">
        <v>17</v>
      </c>
      <c r="AN27" s="650"/>
      <c r="AO27" s="651"/>
      <c r="AP27" s="10"/>
    </row>
    <row r="28" spans="1:83" ht="22.5" customHeight="1" thickTop="1" thickBot="1">
      <c r="A28" s="669"/>
      <c r="B28" s="654"/>
      <c r="C28" s="654"/>
      <c r="D28" s="654"/>
      <c r="E28" s="654"/>
      <c r="F28" s="654"/>
      <c r="G28" s="286"/>
      <c r="H28" s="651" t="s">
        <v>93</v>
      </c>
      <c r="I28" s="655"/>
      <c r="J28" s="655"/>
      <c r="K28" s="3" t="s">
        <v>0</v>
      </c>
      <c r="L28" s="649" t="s">
        <v>5</v>
      </c>
      <c r="M28" s="651"/>
      <c r="N28" s="5" t="s">
        <v>68</v>
      </c>
      <c r="O28" s="656" t="s">
        <v>177</v>
      </c>
      <c r="P28" s="657"/>
      <c r="Q28" s="658"/>
      <c r="R28" s="5" t="s">
        <v>91</v>
      </c>
      <c r="S28" s="656" t="s">
        <v>179</v>
      </c>
      <c r="T28" s="657"/>
      <c r="U28" s="658"/>
      <c r="V28" s="6" t="s">
        <v>56</v>
      </c>
      <c r="W28" s="644" t="s">
        <v>178</v>
      </c>
      <c r="X28" s="645"/>
      <c r="Y28" s="645"/>
      <c r="Z28" s="6" t="s">
        <v>83</v>
      </c>
      <c r="AA28" s="644" t="s">
        <v>180</v>
      </c>
      <c r="AB28" s="645"/>
      <c r="AC28" s="645"/>
      <c r="AD28" s="152" t="s">
        <v>1</v>
      </c>
      <c r="AE28" s="646" t="s">
        <v>175</v>
      </c>
      <c r="AF28" s="647"/>
      <c r="AG28" s="648"/>
      <c r="AH28" s="513" t="s">
        <v>1</v>
      </c>
      <c r="AI28" s="649" t="s">
        <v>4</v>
      </c>
      <c r="AJ28" s="650"/>
      <c r="AK28" s="651"/>
      <c r="AL28" s="13" t="s">
        <v>20</v>
      </c>
      <c r="AM28" s="649" t="s">
        <v>18</v>
      </c>
      <c r="AN28" s="650"/>
      <c r="AO28" s="651"/>
      <c r="AP28" s="10"/>
    </row>
    <row r="29" spans="1:83" customFormat="1" ht="19" thickTop="1">
      <c r="B29" s="8"/>
      <c r="C29" s="652"/>
      <c r="D29" s="652"/>
      <c r="E29" s="653"/>
      <c r="F29" s="653"/>
      <c r="G29" s="156"/>
      <c r="H29" s="158"/>
      <c r="I29" s="157"/>
      <c r="J29" s="158"/>
      <c r="K29" s="158"/>
      <c r="L29" s="158"/>
      <c r="M29" s="158"/>
      <c r="N29" s="203"/>
      <c r="O29" s="158"/>
      <c r="P29" s="158"/>
      <c r="Q29" s="203"/>
      <c r="R29" s="157"/>
      <c r="S29" s="157"/>
      <c r="T29" s="158"/>
      <c r="U29" s="158"/>
      <c r="V29" s="158"/>
      <c r="W29" s="158"/>
      <c r="X29" s="157"/>
      <c r="Y29" s="157"/>
      <c r="Z29" s="157"/>
      <c r="AA29" s="158"/>
      <c r="AB29" s="203"/>
      <c r="AC29" s="158"/>
      <c r="AD29" s="158"/>
      <c r="AE29" s="203"/>
      <c r="AF29" s="157"/>
      <c r="AG29" s="158"/>
      <c r="AH29" s="158"/>
      <c r="AI29" s="157"/>
      <c r="AJ29" s="158"/>
      <c r="AK29" s="158"/>
      <c r="AN29" s="9"/>
      <c r="AO29" s="11"/>
    </row>
    <row r="30" spans="1:83" s="11" customFormat="1" ht="18">
      <c r="A30" s="1"/>
      <c r="B30" s="652"/>
      <c r="C30" s="652"/>
      <c r="D30" s="652"/>
      <c r="E30" s="652"/>
      <c r="F30" s="653"/>
      <c r="G30" s="653"/>
      <c r="H30" s="156"/>
      <c r="I30" s="158"/>
      <c r="J30" s="157"/>
      <c r="K30" s="158"/>
      <c r="L30" s="158"/>
      <c r="M30" s="157"/>
      <c r="N30" s="157"/>
      <c r="O30" s="203"/>
      <c r="P30" s="158"/>
      <c r="Q30" s="157"/>
      <c r="R30" s="157"/>
      <c r="S30" s="158"/>
      <c r="T30" s="158"/>
      <c r="U30" s="218"/>
      <c r="V30" s="158"/>
      <c r="W30" s="158"/>
      <c r="X30" s="158"/>
      <c r="Y30" s="158"/>
      <c r="Z30" s="156"/>
      <c r="AA30" s="158"/>
      <c r="AB30" s="158"/>
      <c r="AC30" s="158"/>
      <c r="AD30" s="158"/>
      <c r="AE30" s="157"/>
      <c r="AF30" s="158"/>
      <c r="AG30" s="156"/>
      <c r="AH30" s="158"/>
      <c r="AI30" s="158"/>
      <c r="AJ30" s="158"/>
      <c r="AK30" s="158"/>
      <c r="AL30" s="156"/>
      <c r="AM30" s="160"/>
      <c r="AN30" s="160"/>
      <c r="AP30" s="12"/>
      <c r="AQ30" s="1"/>
      <c r="AR30" s="1"/>
      <c r="AS30" s="1"/>
      <c r="AT30" s="1"/>
    </row>
    <row r="31" spans="1:83" s="11" customFormat="1">
      <c r="A31" s="1"/>
      <c r="B31" s="1"/>
      <c r="C31" s="1"/>
      <c r="D31" s="1"/>
      <c r="E31" s="1"/>
      <c r="F31" s="1"/>
      <c r="G31"/>
      <c r="H31" s="1"/>
      <c r="I31" s="1"/>
      <c r="J31" s="8"/>
      <c r="K31" s="8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7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9"/>
      <c r="AP31" s="12"/>
      <c r="AQ31" s="1"/>
      <c r="AR31" s="1"/>
      <c r="AS31" s="1"/>
      <c r="AT31" s="1"/>
    </row>
    <row r="32" spans="1:83" s="11" customFormat="1" ht="18">
      <c r="A32" s="1"/>
      <c r="B32" s="1"/>
      <c r="C32" s="1"/>
      <c r="D32" s="1"/>
      <c r="E32" s="1"/>
      <c r="F32" s="1"/>
      <c r="G32" s="17"/>
      <c r="H32" s="17"/>
      <c r="I32" s="17"/>
      <c r="J32" s="17"/>
      <c r="K32" s="15"/>
      <c r="L32" s="17"/>
      <c r="M32" s="17"/>
      <c r="N32" s="17"/>
      <c r="O32" s="17"/>
      <c r="P32" s="17"/>
      <c r="Q32" s="17"/>
      <c r="R32" s="15"/>
      <c r="S32" s="17"/>
      <c r="T32" s="16"/>
      <c r="U32" s="16"/>
      <c r="V32" s="16"/>
      <c r="W32" s="16"/>
      <c r="X32" s="16"/>
      <c r="Y32" s="15"/>
      <c r="Z32" s="16"/>
      <c r="AA32" s="16"/>
      <c r="AB32" s="16"/>
      <c r="AC32" s="16"/>
      <c r="AD32" s="16"/>
      <c r="AE32" s="16"/>
      <c r="AF32" s="15" t="s">
        <v>41</v>
      </c>
      <c r="AG32" s="16"/>
      <c r="AH32" s="16"/>
      <c r="AI32" s="16"/>
      <c r="AJ32" s="16"/>
      <c r="AK32" s="16"/>
      <c r="AL32" s="1"/>
      <c r="AM32" s="1"/>
      <c r="AN32" s="9"/>
      <c r="AP32" s="12"/>
      <c r="AQ32" s="1"/>
      <c r="AR32" s="1"/>
      <c r="AS32" s="1"/>
      <c r="AT32" s="1"/>
    </row>
    <row r="33" spans="1:46" s="11" customFormat="1">
      <c r="A33" s="1"/>
      <c r="B33" s="1"/>
      <c r="C33" s="1"/>
      <c r="D33" s="1"/>
      <c r="E33" s="1"/>
      <c r="F33" s="1"/>
      <c r="G33"/>
      <c r="H33" s="1"/>
      <c r="I33" s="1"/>
      <c r="J33" s="8"/>
      <c r="K33" s="8"/>
      <c r="L33" s="1"/>
      <c r="M33" t="s">
        <v>27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7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9"/>
      <c r="AP33" s="12"/>
      <c r="AQ33" s="1"/>
      <c r="AR33" s="1"/>
      <c r="AS33" s="1"/>
      <c r="AT33" s="1"/>
    </row>
    <row r="34" spans="1:46" s="11" customFormat="1">
      <c r="A34" s="1"/>
      <c r="B34" s="1"/>
      <c r="C34" s="1"/>
      <c r="D34" s="1"/>
      <c r="E34" s="1"/>
      <c r="F34" s="1"/>
      <c r="G34"/>
      <c r="H34" s="1"/>
      <c r="I34" s="1"/>
      <c r="J34" s="8"/>
      <c r="K34" s="8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7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9"/>
      <c r="AP34" s="12"/>
      <c r="AQ34" s="1"/>
      <c r="AR34" s="1"/>
      <c r="AS34" s="1"/>
      <c r="AT34" s="1"/>
    </row>
    <row r="35" spans="1:46" s="11" customFormat="1">
      <c r="A35" s="1"/>
      <c r="B35" s="1"/>
      <c r="C35" s="1"/>
      <c r="D35" s="1"/>
      <c r="E35" s="1"/>
      <c r="F35" s="1"/>
      <c r="G35"/>
      <c r="H35" s="1"/>
      <c r="I35" s="1"/>
      <c r="J35" s="8"/>
      <c r="K35" s="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7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9"/>
      <c r="AP35" s="12"/>
      <c r="AQ35" s="1"/>
      <c r="AR35" s="1"/>
      <c r="AS35" s="1"/>
      <c r="AT35" s="1"/>
    </row>
    <row r="36" spans="1:46" s="11" customFormat="1">
      <c r="A36" s="1"/>
      <c r="B36" s="1"/>
      <c r="C36" s="1"/>
      <c r="D36" s="1"/>
      <c r="E36" s="1"/>
      <c r="F36" s="1"/>
      <c r="G36"/>
      <c r="H36" s="1"/>
      <c r="I36" s="1"/>
      <c r="J36" s="8"/>
      <c r="K36" s="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7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9"/>
      <c r="AP36" s="12"/>
      <c r="AQ36" s="1"/>
      <c r="AR36" s="1"/>
      <c r="AS36" s="1"/>
      <c r="AT36" s="1"/>
    </row>
    <row r="37" spans="1:46" s="11" customFormat="1">
      <c r="A37" s="1"/>
      <c r="B37" s="1"/>
      <c r="C37" s="1"/>
      <c r="D37" s="1"/>
      <c r="E37" s="1"/>
      <c r="F37" s="1"/>
      <c r="G37"/>
      <c r="H37" s="1"/>
      <c r="I37" s="1"/>
      <c r="J37" s="8"/>
      <c r="K37" s="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7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9"/>
      <c r="AP37" s="12"/>
      <c r="AQ37" s="1"/>
      <c r="AR37" s="1"/>
      <c r="AS37" s="1"/>
      <c r="AT37" s="1"/>
    </row>
    <row r="38" spans="1:46" s="11" customFormat="1">
      <c r="A38" s="1"/>
      <c r="B38" s="1"/>
      <c r="C38" s="1"/>
      <c r="D38" s="1"/>
      <c r="E38" s="1"/>
      <c r="F38" s="1"/>
      <c r="G38"/>
      <c r="H38" s="1"/>
      <c r="I38" s="1"/>
      <c r="J38" s="8"/>
      <c r="K38" s="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7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9"/>
      <c r="AP38" s="12"/>
      <c r="AQ38" s="1"/>
      <c r="AR38" s="1"/>
      <c r="AS38" s="1"/>
      <c r="AT38" s="1"/>
    </row>
    <row r="39" spans="1:46" s="11" customFormat="1">
      <c r="A39" s="1"/>
      <c r="B39" s="1"/>
      <c r="C39" s="1"/>
      <c r="D39" s="1"/>
      <c r="E39" s="1"/>
      <c r="F39" s="1"/>
      <c r="G39"/>
      <c r="H39" s="1"/>
      <c r="I39" s="1"/>
      <c r="J39" s="8"/>
      <c r="K39" s="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7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9"/>
      <c r="AP39" s="12"/>
      <c r="AQ39" s="1"/>
      <c r="AR39" s="1"/>
      <c r="AS39" s="1"/>
      <c r="AT39" s="1"/>
    </row>
    <row r="40" spans="1:46" s="11" customFormat="1">
      <c r="A40" s="1"/>
      <c r="B40" s="1"/>
      <c r="C40" s="1"/>
      <c r="D40" s="1"/>
      <c r="E40" s="1"/>
      <c r="F40" s="1"/>
      <c r="G40"/>
      <c r="H40" s="1"/>
      <c r="I40" s="1"/>
      <c r="J40" s="8"/>
      <c r="K40" s="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7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9"/>
      <c r="AP40" s="12"/>
      <c r="AQ40" s="1"/>
      <c r="AR40" s="1"/>
      <c r="AS40" s="1"/>
      <c r="AT40" s="1"/>
    </row>
    <row r="41" spans="1:46" s="11" customFormat="1">
      <c r="A41" s="1"/>
      <c r="B41" s="1"/>
      <c r="C41" s="1"/>
      <c r="D41" s="1"/>
      <c r="E41" s="1"/>
      <c r="F41" s="1"/>
      <c r="G41"/>
      <c r="H41" s="1"/>
      <c r="I41" s="1"/>
      <c r="J41" s="8"/>
      <c r="K41" s="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7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9"/>
      <c r="AP41" s="12"/>
      <c r="AQ41" s="1"/>
      <c r="AR41" s="1"/>
      <c r="AS41" s="1"/>
      <c r="AT41" s="1"/>
    </row>
    <row r="42" spans="1:46" s="11" customFormat="1">
      <c r="A42" s="1"/>
      <c r="B42" s="1"/>
      <c r="C42" s="1"/>
      <c r="D42" s="1"/>
      <c r="E42" s="1"/>
      <c r="F42" s="1"/>
      <c r="G42"/>
      <c r="H42" s="1"/>
      <c r="I42" s="1"/>
      <c r="J42" s="8"/>
      <c r="K42" s="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7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9"/>
      <c r="AP42" s="12"/>
      <c r="AQ42" s="1"/>
      <c r="AR42" s="1"/>
      <c r="AS42" s="1"/>
      <c r="AT42" s="1"/>
    </row>
    <row r="43" spans="1:46" s="11" customFormat="1">
      <c r="A43" s="1"/>
      <c r="B43" s="1"/>
      <c r="C43" s="1"/>
      <c r="D43" s="1"/>
      <c r="E43" s="1"/>
      <c r="F43" s="1"/>
      <c r="G43"/>
      <c r="H43" s="1"/>
      <c r="I43" s="1"/>
      <c r="J43" s="8"/>
      <c r="K43" s="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7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9"/>
      <c r="AP43" s="12"/>
      <c r="AQ43" s="1"/>
      <c r="AR43" s="1"/>
      <c r="AS43" s="1"/>
      <c r="AT43" s="1"/>
    </row>
    <row r="44" spans="1:46" s="11" customFormat="1">
      <c r="A44" s="1"/>
      <c r="B44" s="1"/>
      <c r="C44" s="1"/>
      <c r="D44" s="1"/>
      <c r="E44" s="1"/>
      <c r="F44" s="1"/>
      <c r="G44"/>
      <c r="H44" s="1"/>
      <c r="I44" s="1"/>
      <c r="J44" s="8"/>
      <c r="K44" s="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7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9"/>
      <c r="AP44" s="12"/>
      <c r="AQ44" s="1"/>
      <c r="AR44" s="1"/>
      <c r="AS44" s="1"/>
      <c r="AT44" s="1"/>
    </row>
    <row r="45" spans="1:46" s="11" customFormat="1">
      <c r="A45" s="1"/>
      <c r="B45" s="1"/>
      <c r="C45" s="1"/>
      <c r="D45" s="1"/>
      <c r="E45" s="1"/>
      <c r="F45" s="1"/>
      <c r="G45"/>
      <c r="H45" s="1"/>
      <c r="I45" s="1"/>
      <c r="J45" s="8"/>
      <c r="K45" s="8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7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9"/>
      <c r="AP45" s="12"/>
      <c r="AQ45" s="1"/>
      <c r="AR45" s="1"/>
      <c r="AS45" s="1"/>
      <c r="AT45" s="1"/>
    </row>
    <row r="46" spans="1:46">
      <c r="Y46" s="1"/>
      <c r="AD46" s="1"/>
    </row>
    <row r="47" spans="1:46" ht="40">
      <c r="R47" s="125"/>
      <c r="Y47" s="1"/>
      <c r="AD47" s="1"/>
    </row>
    <row r="48" spans="1:46"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J60" s="543">
        <v>0.69791666666666663</v>
      </c>
      <c r="Y60" s="1"/>
      <c r="AD60" s="1"/>
    </row>
    <row r="61" spans="10:30"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F111" s="527">
        <v>0.36249999999999999</v>
      </c>
      <c r="Y111" s="1"/>
      <c r="AD111" s="1"/>
    </row>
    <row r="112" spans="6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4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AM28:AO28"/>
    <mergeCell ref="O28:Q28"/>
    <mergeCell ref="S28:U28"/>
    <mergeCell ref="W28:Y28"/>
    <mergeCell ref="AA28:AC28"/>
    <mergeCell ref="AE28:AG28"/>
    <mergeCell ref="AI28:AK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S17:AT17"/>
    <mergeCell ref="AS16:AT16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C17:D17"/>
    <mergeCell ref="E17:F17"/>
    <mergeCell ref="AQ17:AR17"/>
    <mergeCell ref="A9:A13"/>
    <mergeCell ref="C9:D9"/>
    <mergeCell ref="E9:F9"/>
    <mergeCell ref="C10:D10"/>
    <mergeCell ref="E10:F10"/>
    <mergeCell ref="C11:D11"/>
    <mergeCell ref="E11:F11"/>
    <mergeCell ref="C12:D12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31" priority="9" operator="equal">
      <formula>8</formula>
    </cfRule>
    <cfRule type="cellIs" dxfId="30" priority="10" operator="equal">
      <formula>0</formula>
    </cfRule>
  </conditionalFormatting>
  <conditionalFormatting sqref="BZ19:BZ20">
    <cfRule type="cellIs" dxfId="29" priority="5" operator="equal">
      <formula>8</formula>
    </cfRule>
    <cfRule type="cellIs" dxfId="28" priority="6" operator="equal">
      <formula>0</formula>
    </cfRule>
  </conditionalFormatting>
  <conditionalFormatting sqref="CA18">
    <cfRule type="cellIs" dxfId="27" priority="1" operator="equal">
      <formula>8</formula>
    </cfRule>
    <cfRule type="cellIs" dxfId="26" priority="2" operator="equal">
      <formula>0</formula>
    </cfRule>
  </conditionalFormatting>
  <conditionalFormatting sqref="CA24">
    <cfRule type="cellIs" dxfId="25" priority="3" operator="equal">
      <formula>8</formula>
    </cfRule>
    <cfRule type="cellIs" dxfId="24" priority="4" operator="equal">
      <formula>0</formula>
    </cfRule>
  </conditionalFormatting>
  <conditionalFormatting sqref="CB23">
    <cfRule type="cellIs" dxfId="23" priority="7" operator="equal">
      <formula>8</formula>
    </cfRule>
    <cfRule type="cellIs" dxfId="22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B1518-2B1D-CC42-8A07-DD88388E1E2B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AV16" sqref="AV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8" customWidth="1"/>
    <col min="12" max="24" width="3.6640625" style="1" customWidth="1"/>
    <col min="25" max="25" width="3.6640625" style="38" customWidth="1"/>
    <col min="26" max="28" width="3.6640625" style="1" customWidth="1"/>
    <col min="29" max="29" width="3.6640625" style="7" customWidth="1"/>
    <col min="30" max="30" width="3.6640625" style="41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9" customWidth="1"/>
    <col min="41" max="41" width="5.1640625" style="11" customWidth="1"/>
    <col min="42" max="42" width="9" style="12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18"/>
      <c r="B1" s="729" t="s">
        <v>623</v>
      </c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  <c r="AA1" s="729"/>
      <c r="AB1" s="729"/>
      <c r="AC1" s="729"/>
      <c r="AD1" s="729"/>
      <c r="AE1" s="729"/>
      <c r="AF1" s="729"/>
      <c r="AG1" s="729"/>
      <c r="AH1" s="729"/>
      <c r="AI1" s="729"/>
      <c r="AJ1" s="729"/>
      <c r="AK1" s="729"/>
      <c r="AL1" s="729"/>
      <c r="AM1" s="729"/>
      <c r="AN1" s="729"/>
      <c r="AO1" s="729"/>
    </row>
    <row r="2" spans="1:81" ht="22.5" customHeight="1">
      <c r="A2" s="1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29"/>
      <c r="AB2" s="729"/>
      <c r="AC2" s="729"/>
      <c r="AD2" s="729"/>
      <c r="AE2" s="729"/>
      <c r="AF2" s="729"/>
      <c r="AG2" s="729"/>
      <c r="AH2" s="729"/>
      <c r="AI2" s="729"/>
      <c r="AJ2" s="729"/>
      <c r="AK2" s="729"/>
      <c r="AL2" s="729"/>
      <c r="AM2" s="729"/>
      <c r="AN2" s="729"/>
      <c r="AO2" s="729"/>
    </row>
    <row r="3" spans="1:81" ht="22.5" customHeight="1">
      <c r="A3" s="18"/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R3" s="730"/>
      <c r="S3" s="730"/>
      <c r="T3" s="730"/>
      <c r="U3" s="730"/>
      <c r="V3" s="730"/>
      <c r="W3" s="730"/>
      <c r="X3" s="730"/>
      <c r="Y3" s="730"/>
      <c r="Z3" s="730"/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</row>
    <row r="4" spans="1:81" ht="25" customHeight="1">
      <c r="B4" s="731"/>
      <c r="C4" s="733" t="s">
        <v>6</v>
      </c>
      <c r="D4" s="734"/>
      <c r="E4" s="734"/>
      <c r="F4" s="735"/>
      <c r="G4" s="310">
        <v>1</v>
      </c>
      <c r="H4" s="37">
        <v>2</v>
      </c>
      <c r="I4" s="37">
        <v>3</v>
      </c>
      <c r="J4" s="37">
        <v>4</v>
      </c>
      <c r="K4" s="127">
        <v>5</v>
      </c>
      <c r="L4" s="51">
        <v>6</v>
      </c>
      <c r="M4" s="37">
        <v>7</v>
      </c>
      <c r="N4" s="37">
        <v>8</v>
      </c>
      <c r="O4" s="37">
        <v>9</v>
      </c>
      <c r="P4" s="37">
        <v>10</v>
      </c>
      <c r="Q4" s="37">
        <v>11</v>
      </c>
      <c r="R4" s="127">
        <v>12</v>
      </c>
      <c r="S4" s="51">
        <v>13</v>
      </c>
      <c r="T4" s="37">
        <v>14</v>
      </c>
      <c r="U4" s="37">
        <v>15</v>
      </c>
      <c r="V4" s="37">
        <v>16</v>
      </c>
      <c r="W4" s="37">
        <v>17</v>
      </c>
      <c r="X4" s="37">
        <v>18</v>
      </c>
      <c r="Y4" s="127">
        <v>19</v>
      </c>
      <c r="Z4" s="51">
        <v>20</v>
      </c>
      <c r="AA4" s="37">
        <v>21</v>
      </c>
      <c r="AB4" s="37">
        <v>22</v>
      </c>
      <c r="AC4" s="37">
        <v>23</v>
      </c>
      <c r="AD4" s="127">
        <v>24</v>
      </c>
      <c r="AE4" s="51">
        <v>25</v>
      </c>
      <c r="AF4" s="127">
        <v>26</v>
      </c>
      <c r="AG4" s="51">
        <v>27</v>
      </c>
      <c r="AH4" s="37">
        <v>28</v>
      </c>
      <c r="AI4" s="37">
        <v>29</v>
      </c>
      <c r="AJ4" s="37">
        <v>30</v>
      </c>
      <c r="AK4" s="309">
        <v>31</v>
      </c>
      <c r="AL4" s="736" t="s">
        <v>35</v>
      </c>
      <c r="AM4" s="737"/>
      <c r="AN4" s="737"/>
      <c r="AO4" s="738"/>
      <c r="AP4" s="10"/>
    </row>
    <row r="5" spans="1:81" ht="25" customHeight="1">
      <c r="B5" s="732"/>
      <c r="C5" s="739" t="s">
        <v>7</v>
      </c>
      <c r="D5" s="740"/>
      <c r="E5" s="741" t="s">
        <v>8</v>
      </c>
      <c r="F5" s="742"/>
      <c r="G5" s="184" t="s">
        <v>76</v>
      </c>
      <c r="H5" s="185" t="s">
        <v>50</v>
      </c>
      <c r="I5" s="185" t="s">
        <v>10</v>
      </c>
      <c r="J5" s="185" t="s">
        <v>11</v>
      </c>
      <c r="K5" s="186" t="s">
        <v>12</v>
      </c>
      <c r="L5" s="188" t="s">
        <v>13</v>
      </c>
      <c r="M5" s="185" t="s">
        <v>14</v>
      </c>
      <c r="N5" s="185" t="s">
        <v>15</v>
      </c>
      <c r="O5" s="185" t="s">
        <v>9</v>
      </c>
      <c r="P5" s="185" t="s">
        <v>10</v>
      </c>
      <c r="Q5" s="185" t="s">
        <v>11</v>
      </c>
      <c r="R5" s="186" t="s">
        <v>12</v>
      </c>
      <c r="S5" s="188" t="s">
        <v>13</v>
      </c>
      <c r="T5" s="185" t="s">
        <v>14</v>
      </c>
      <c r="U5" s="185" t="s">
        <v>15</v>
      </c>
      <c r="V5" s="185" t="s">
        <v>9</v>
      </c>
      <c r="W5" s="185" t="s">
        <v>10</v>
      </c>
      <c r="X5" s="185" t="s">
        <v>11</v>
      </c>
      <c r="Y5" s="186" t="s">
        <v>12</v>
      </c>
      <c r="Z5" s="188" t="s">
        <v>13</v>
      </c>
      <c r="AA5" s="185" t="s">
        <v>14</v>
      </c>
      <c r="AB5" s="185" t="s">
        <v>15</v>
      </c>
      <c r="AC5" s="185" t="s">
        <v>9</v>
      </c>
      <c r="AD5" s="186" t="s">
        <v>10</v>
      </c>
      <c r="AE5" s="188" t="s">
        <v>11</v>
      </c>
      <c r="AF5" s="186" t="s">
        <v>12</v>
      </c>
      <c r="AG5" s="188" t="s">
        <v>13</v>
      </c>
      <c r="AH5" s="185" t="s">
        <v>14</v>
      </c>
      <c r="AI5" s="185" t="s">
        <v>15</v>
      </c>
      <c r="AJ5" s="185" t="s">
        <v>9</v>
      </c>
      <c r="AK5" s="208" t="s">
        <v>14</v>
      </c>
      <c r="AL5" s="3" t="s">
        <v>0</v>
      </c>
      <c r="AM5" s="553" t="s">
        <v>2</v>
      </c>
      <c r="AN5" s="253" t="s">
        <v>1</v>
      </c>
      <c r="AO5" s="36" t="s">
        <v>16</v>
      </c>
      <c r="AP5" s="10"/>
    </row>
    <row r="6" spans="1:81" ht="22" customHeight="1">
      <c r="B6" s="353">
        <v>1</v>
      </c>
      <c r="C6" s="718" t="s">
        <v>191</v>
      </c>
      <c r="D6" s="719"/>
      <c r="E6" s="720" t="s">
        <v>34</v>
      </c>
      <c r="F6" s="721"/>
      <c r="G6" s="76" t="s">
        <v>2</v>
      </c>
      <c r="H6" s="75" t="s">
        <v>2</v>
      </c>
      <c r="I6" s="39" t="s">
        <v>2</v>
      </c>
      <c r="J6" s="53" t="s">
        <v>2</v>
      </c>
      <c r="K6" s="233" t="s">
        <v>1</v>
      </c>
      <c r="L6" s="75" t="s">
        <v>1</v>
      </c>
      <c r="M6" s="75" t="s">
        <v>2</v>
      </c>
      <c r="N6" s="75" t="s">
        <v>2</v>
      </c>
      <c r="O6" s="75" t="s">
        <v>2</v>
      </c>
      <c r="P6" s="75" t="s">
        <v>2</v>
      </c>
      <c r="Q6" s="53" t="s">
        <v>2</v>
      </c>
      <c r="R6" s="233" t="s">
        <v>21</v>
      </c>
      <c r="S6" s="75" t="s">
        <v>1</v>
      </c>
      <c r="T6" s="75" t="s">
        <v>2</v>
      </c>
      <c r="U6" s="75" t="s">
        <v>2</v>
      </c>
      <c r="V6" s="75" t="s">
        <v>2</v>
      </c>
      <c r="W6" s="53" t="s">
        <v>2</v>
      </c>
      <c r="X6" s="53" t="s">
        <v>2</v>
      </c>
      <c r="Y6" s="233" t="s">
        <v>21</v>
      </c>
      <c r="Z6" s="75" t="s">
        <v>1</v>
      </c>
      <c r="AA6" s="75" t="s">
        <v>2</v>
      </c>
      <c r="AB6" s="75" t="s">
        <v>2</v>
      </c>
      <c r="AC6" s="75" t="s">
        <v>2</v>
      </c>
      <c r="AD6" s="233" t="s">
        <v>21</v>
      </c>
      <c r="AE6" s="75" t="s">
        <v>1</v>
      </c>
      <c r="AF6" s="233" t="s">
        <v>1</v>
      </c>
      <c r="AG6" s="75" t="s">
        <v>1</v>
      </c>
      <c r="AH6" s="75" t="s">
        <v>2</v>
      </c>
      <c r="AI6" s="75" t="s">
        <v>2</v>
      </c>
      <c r="AJ6" s="75" t="s">
        <v>2</v>
      </c>
      <c r="AK6" s="75"/>
      <c r="AL6" s="55">
        <f t="shared" ref="AL6:AL25" si="0">COUNTIF(G6:AK6,"▲")</f>
        <v>0</v>
      </c>
      <c r="AM6" s="21">
        <f t="shared" ref="AM6:AM25" si="1">COUNTIF(G6:AK6,"D")</f>
        <v>20</v>
      </c>
      <c r="AN6" s="22">
        <f t="shared" ref="AN6:AN25" si="2">COUNTIF(G6:AK6,"●")</f>
        <v>10</v>
      </c>
      <c r="AO6" s="27">
        <f t="shared" ref="AO6:AO25" si="3">AN6+AL6</f>
        <v>10</v>
      </c>
      <c r="AP6" s="10"/>
    </row>
    <row r="7" spans="1:81" ht="21.75" customHeight="1">
      <c r="B7" s="54">
        <v>2</v>
      </c>
      <c r="C7" s="710" t="s">
        <v>22</v>
      </c>
      <c r="D7" s="722"/>
      <c r="E7" s="723" t="s">
        <v>23</v>
      </c>
      <c r="F7" s="724"/>
      <c r="G7" s="100" t="s">
        <v>2</v>
      </c>
      <c r="H7" s="46" t="s">
        <v>2</v>
      </c>
      <c r="I7" s="93" t="s">
        <v>2</v>
      </c>
      <c r="J7" s="93" t="s">
        <v>2</v>
      </c>
      <c r="K7" s="171" t="s">
        <v>1</v>
      </c>
      <c r="L7" s="46" t="s">
        <v>21</v>
      </c>
      <c r="M7" s="40" t="s">
        <v>2</v>
      </c>
      <c r="N7" s="59" t="s">
        <v>2</v>
      </c>
      <c r="O7" s="46" t="s">
        <v>2</v>
      </c>
      <c r="P7" s="46" t="s">
        <v>2</v>
      </c>
      <c r="Q7" s="46" t="s">
        <v>2</v>
      </c>
      <c r="R7" s="114" t="s">
        <v>1</v>
      </c>
      <c r="S7" s="46" t="s">
        <v>21</v>
      </c>
      <c r="T7" s="93" t="s">
        <v>2</v>
      </c>
      <c r="U7" s="111" t="s">
        <v>40</v>
      </c>
      <c r="V7" s="46" t="s">
        <v>2</v>
      </c>
      <c r="W7" s="46" t="s">
        <v>2</v>
      </c>
      <c r="X7" s="43" t="s">
        <v>2</v>
      </c>
      <c r="Y7" s="171" t="s">
        <v>1</v>
      </c>
      <c r="Z7" s="46" t="s">
        <v>21</v>
      </c>
      <c r="AA7" s="93" t="s">
        <v>2</v>
      </c>
      <c r="AB7" s="93" t="s">
        <v>2</v>
      </c>
      <c r="AC7" s="46" t="s">
        <v>2</v>
      </c>
      <c r="AD7" s="82" t="s">
        <v>21</v>
      </c>
      <c r="AE7" s="46" t="s">
        <v>21</v>
      </c>
      <c r="AF7" s="82" t="s">
        <v>21</v>
      </c>
      <c r="AG7" s="46" t="s">
        <v>21</v>
      </c>
      <c r="AH7" s="121" t="s">
        <v>2</v>
      </c>
      <c r="AI7" s="93" t="s">
        <v>2</v>
      </c>
      <c r="AJ7" s="46" t="s">
        <v>2</v>
      </c>
      <c r="AK7" s="46"/>
      <c r="AL7" s="221">
        <f t="shared" si="0"/>
        <v>1</v>
      </c>
      <c r="AM7" s="260">
        <f t="shared" si="1"/>
        <v>19</v>
      </c>
      <c r="AN7" s="32">
        <f t="shared" si="2"/>
        <v>10</v>
      </c>
      <c r="AO7" s="167">
        <f t="shared" si="3"/>
        <v>11</v>
      </c>
      <c r="AP7" s="10"/>
      <c r="AQ7"/>
      <c r="AT7"/>
    </row>
    <row r="8" spans="1:81" ht="22" customHeight="1">
      <c r="B8" s="353">
        <v>3</v>
      </c>
      <c r="C8" s="725" t="s">
        <v>622</v>
      </c>
      <c r="D8" s="726"/>
      <c r="E8" s="727" t="s">
        <v>37</v>
      </c>
      <c r="F8" s="728"/>
      <c r="G8" s="76" t="s">
        <v>2</v>
      </c>
      <c r="H8" s="75" t="s">
        <v>2</v>
      </c>
      <c r="I8" s="75" t="s">
        <v>2</v>
      </c>
      <c r="J8" s="39" t="s">
        <v>2</v>
      </c>
      <c r="K8" s="233" t="s">
        <v>1</v>
      </c>
      <c r="L8" s="75" t="s">
        <v>21</v>
      </c>
      <c r="M8" s="75" t="s">
        <v>2</v>
      </c>
      <c r="N8" s="75" t="s">
        <v>2</v>
      </c>
      <c r="O8" s="261" t="s">
        <v>2</v>
      </c>
      <c r="P8" s="114" t="s">
        <v>1</v>
      </c>
      <c r="Q8" s="75" t="s">
        <v>2</v>
      </c>
      <c r="R8" s="39" t="s">
        <v>2</v>
      </c>
      <c r="S8" s="75" t="s">
        <v>21</v>
      </c>
      <c r="T8" s="75" t="s">
        <v>2</v>
      </c>
      <c r="U8" s="75" t="s">
        <v>2</v>
      </c>
      <c r="V8" s="75" t="s">
        <v>2</v>
      </c>
      <c r="W8" s="114" t="s">
        <v>1</v>
      </c>
      <c r="X8" s="75" t="s">
        <v>2</v>
      </c>
      <c r="Y8" s="233" t="s">
        <v>1</v>
      </c>
      <c r="Z8" s="75" t="s">
        <v>21</v>
      </c>
      <c r="AA8" s="75" t="s">
        <v>2</v>
      </c>
      <c r="AB8" s="75" t="s">
        <v>2</v>
      </c>
      <c r="AC8" s="75" t="s">
        <v>2</v>
      </c>
      <c r="AD8" s="233" t="s">
        <v>21</v>
      </c>
      <c r="AE8" s="75" t="s">
        <v>21</v>
      </c>
      <c r="AF8" s="75" t="s">
        <v>2</v>
      </c>
      <c r="AG8" s="75" t="s">
        <v>21</v>
      </c>
      <c r="AH8" s="75" t="s">
        <v>2</v>
      </c>
      <c r="AI8" s="75" t="s">
        <v>2</v>
      </c>
      <c r="AJ8" s="75" t="s">
        <v>2</v>
      </c>
      <c r="AK8" s="75"/>
      <c r="AL8" s="124">
        <f t="shared" si="0"/>
        <v>0</v>
      </c>
      <c r="AM8" s="33">
        <f t="shared" si="1"/>
        <v>20</v>
      </c>
      <c r="AN8" s="22">
        <f t="shared" si="2"/>
        <v>10</v>
      </c>
      <c r="AO8" s="27">
        <f t="shared" si="3"/>
        <v>10</v>
      </c>
      <c r="AP8" s="10"/>
      <c r="AR8"/>
    </row>
    <row r="9" spans="1:81" ht="22" customHeight="1">
      <c r="A9" s="701"/>
      <c r="B9" s="20">
        <v>4</v>
      </c>
      <c r="C9" s="702" t="s">
        <v>46</v>
      </c>
      <c r="D9" s="703"/>
      <c r="E9" s="704" t="s">
        <v>24</v>
      </c>
      <c r="F9" s="705"/>
      <c r="G9" s="572" t="s">
        <v>20</v>
      </c>
      <c r="H9" s="57" t="s">
        <v>21</v>
      </c>
      <c r="I9" s="59" t="s">
        <v>2</v>
      </c>
      <c r="J9" s="59" t="s">
        <v>2</v>
      </c>
      <c r="K9" s="59" t="s">
        <v>2</v>
      </c>
      <c r="L9" s="40" t="s">
        <v>1</v>
      </c>
      <c r="M9" s="59" t="s">
        <v>2</v>
      </c>
      <c r="N9" s="137" t="s">
        <v>1</v>
      </c>
      <c r="O9" s="564" t="s">
        <v>40</v>
      </c>
      <c r="P9" s="59" t="s">
        <v>2</v>
      </c>
      <c r="Q9" s="59" t="s">
        <v>2</v>
      </c>
      <c r="R9" s="114" t="s">
        <v>21</v>
      </c>
      <c r="S9" s="40" t="s">
        <v>1</v>
      </c>
      <c r="T9" s="59" t="s">
        <v>2</v>
      </c>
      <c r="U9" s="40" t="s">
        <v>2</v>
      </c>
      <c r="V9" s="40" t="s">
        <v>2</v>
      </c>
      <c r="W9" s="59" t="s">
        <v>2</v>
      </c>
      <c r="X9" s="40" t="s">
        <v>2</v>
      </c>
      <c r="Y9" s="114" t="s">
        <v>1</v>
      </c>
      <c r="Z9" s="40" t="s">
        <v>1</v>
      </c>
      <c r="AA9" s="59" t="s">
        <v>2</v>
      </c>
      <c r="AB9" s="564" t="s">
        <v>40</v>
      </c>
      <c r="AC9" s="40" t="s">
        <v>2</v>
      </c>
      <c r="AD9" s="114" t="s">
        <v>1</v>
      </c>
      <c r="AE9" s="40" t="s">
        <v>1</v>
      </c>
      <c r="AF9" s="40" t="s">
        <v>2</v>
      </c>
      <c r="AG9" s="40" t="s">
        <v>1</v>
      </c>
      <c r="AH9" s="59" t="s">
        <v>2</v>
      </c>
      <c r="AI9" s="40" t="s">
        <v>2</v>
      </c>
      <c r="AJ9" s="40" t="s">
        <v>2</v>
      </c>
      <c r="AK9" s="59"/>
      <c r="AL9" s="30">
        <f t="shared" si="0"/>
        <v>2</v>
      </c>
      <c r="AM9" s="25">
        <f t="shared" si="1"/>
        <v>17</v>
      </c>
      <c r="AN9" s="26">
        <f t="shared" si="2"/>
        <v>10</v>
      </c>
      <c r="AO9" s="29">
        <f t="shared" si="3"/>
        <v>12</v>
      </c>
      <c r="AP9" s="10"/>
      <c r="AQ9"/>
      <c r="AR9"/>
      <c r="AS9"/>
      <c r="AT9"/>
    </row>
    <row r="10" spans="1:81" ht="22" customHeight="1">
      <c r="A10" s="701"/>
      <c r="B10" s="20">
        <v>5</v>
      </c>
      <c r="C10" s="706" t="s">
        <v>167</v>
      </c>
      <c r="D10" s="707"/>
      <c r="E10" s="698" t="s">
        <v>24</v>
      </c>
      <c r="F10" s="699"/>
      <c r="G10" s="70" t="s">
        <v>2</v>
      </c>
      <c r="H10" s="59" t="s">
        <v>2</v>
      </c>
      <c r="I10" s="47" t="s">
        <v>2</v>
      </c>
      <c r="J10" s="59" t="s">
        <v>2</v>
      </c>
      <c r="K10" s="137" t="s">
        <v>1</v>
      </c>
      <c r="L10" s="59" t="s">
        <v>21</v>
      </c>
      <c r="M10" s="59" t="s">
        <v>2</v>
      </c>
      <c r="N10" s="47" t="s">
        <v>2</v>
      </c>
      <c r="O10" s="59" t="s">
        <v>2</v>
      </c>
      <c r="P10" s="564" t="s">
        <v>40</v>
      </c>
      <c r="Q10" s="114" t="s">
        <v>21</v>
      </c>
      <c r="R10" s="59" t="s">
        <v>2</v>
      </c>
      <c r="S10" s="59" t="s">
        <v>21</v>
      </c>
      <c r="T10" s="114" t="s">
        <v>21</v>
      </c>
      <c r="U10" s="40" t="s">
        <v>2</v>
      </c>
      <c r="V10" s="59" t="s">
        <v>2</v>
      </c>
      <c r="W10" s="59" t="s">
        <v>2</v>
      </c>
      <c r="X10" s="59" t="s">
        <v>2</v>
      </c>
      <c r="Y10" s="59" t="s">
        <v>2</v>
      </c>
      <c r="Z10" s="59" t="s">
        <v>21</v>
      </c>
      <c r="AA10" s="114" t="s">
        <v>21</v>
      </c>
      <c r="AB10" s="59" t="s">
        <v>2</v>
      </c>
      <c r="AC10" s="59" t="s">
        <v>2</v>
      </c>
      <c r="AD10" s="40" t="s">
        <v>2</v>
      </c>
      <c r="AE10" s="59" t="s">
        <v>21</v>
      </c>
      <c r="AF10" s="153" t="s">
        <v>21</v>
      </c>
      <c r="AG10" s="59" t="s">
        <v>21</v>
      </c>
      <c r="AH10" s="59" t="s">
        <v>2</v>
      </c>
      <c r="AI10" s="59" t="s">
        <v>2</v>
      </c>
      <c r="AJ10" s="59" t="s">
        <v>2</v>
      </c>
      <c r="AK10" s="111"/>
      <c r="AL10" s="30">
        <f t="shared" si="0"/>
        <v>1</v>
      </c>
      <c r="AM10" s="25">
        <f t="shared" si="1"/>
        <v>19</v>
      </c>
      <c r="AN10" s="26">
        <f t="shared" si="2"/>
        <v>10</v>
      </c>
      <c r="AO10" s="29">
        <f t="shared" si="3"/>
        <v>11</v>
      </c>
      <c r="AP10" s="238"/>
      <c r="AR10"/>
    </row>
    <row r="11" spans="1:81" ht="22" customHeight="1">
      <c r="A11" s="701"/>
      <c r="B11" s="20">
        <v>6</v>
      </c>
      <c r="C11" s="708" t="s">
        <v>617</v>
      </c>
      <c r="D11" s="709"/>
      <c r="E11" s="673" t="s">
        <v>32</v>
      </c>
      <c r="F11" s="674"/>
      <c r="G11" s="70" t="s">
        <v>2</v>
      </c>
      <c r="H11" s="59" t="s">
        <v>2</v>
      </c>
      <c r="I11" s="59" t="s">
        <v>2</v>
      </c>
      <c r="J11" s="114" t="s">
        <v>21</v>
      </c>
      <c r="K11" s="59" t="s">
        <v>2</v>
      </c>
      <c r="L11" s="59" t="s">
        <v>1</v>
      </c>
      <c r="M11" s="563" t="s">
        <v>90</v>
      </c>
      <c r="N11" s="40" t="s">
        <v>2</v>
      </c>
      <c r="O11" s="59" t="s">
        <v>2</v>
      </c>
      <c r="P11" s="40" t="s">
        <v>2</v>
      </c>
      <c r="Q11" s="40" t="s">
        <v>2</v>
      </c>
      <c r="R11" s="137" t="s">
        <v>1</v>
      </c>
      <c r="S11" s="59" t="s">
        <v>1</v>
      </c>
      <c r="T11" s="40" t="s">
        <v>2</v>
      </c>
      <c r="U11" s="40" t="s">
        <v>2</v>
      </c>
      <c r="V11" s="114" t="s">
        <v>21</v>
      </c>
      <c r="W11" s="121" t="s">
        <v>2</v>
      </c>
      <c r="X11" s="563" t="s">
        <v>90</v>
      </c>
      <c r="Y11" s="40" t="s">
        <v>2</v>
      </c>
      <c r="Z11" s="59" t="s">
        <v>1</v>
      </c>
      <c r="AA11" s="59" t="s">
        <v>2</v>
      </c>
      <c r="AB11" s="59" t="s">
        <v>2</v>
      </c>
      <c r="AC11" s="114" t="s">
        <v>21</v>
      </c>
      <c r="AD11" s="40" t="s">
        <v>2</v>
      </c>
      <c r="AE11" s="59" t="s">
        <v>1</v>
      </c>
      <c r="AF11" s="114" t="s">
        <v>21</v>
      </c>
      <c r="AG11" s="59" t="s">
        <v>1</v>
      </c>
      <c r="AH11" s="40" t="s">
        <v>2</v>
      </c>
      <c r="AI11" s="59" t="s">
        <v>2</v>
      </c>
      <c r="AJ11" s="59" t="s">
        <v>2</v>
      </c>
      <c r="AK11" s="40"/>
      <c r="AL11" s="30">
        <f t="shared" si="0"/>
        <v>0</v>
      </c>
      <c r="AM11" s="25">
        <f t="shared" si="1"/>
        <v>18</v>
      </c>
      <c r="AN11" s="26">
        <f t="shared" si="2"/>
        <v>10</v>
      </c>
      <c r="AO11" s="29">
        <f t="shared" si="3"/>
        <v>10</v>
      </c>
      <c r="AP11" s="409"/>
      <c r="AS11"/>
      <c r="AT11"/>
    </row>
    <row r="12" spans="1:81" ht="22" customHeight="1" thickBot="1">
      <c r="A12" s="701"/>
      <c r="B12" s="54">
        <v>7</v>
      </c>
      <c r="C12" s="710" t="s">
        <v>29</v>
      </c>
      <c r="D12" s="711"/>
      <c r="E12" s="712" t="s">
        <v>28</v>
      </c>
      <c r="F12" s="713"/>
      <c r="G12" s="66" t="s">
        <v>2</v>
      </c>
      <c r="H12" s="44" t="s">
        <v>2</v>
      </c>
      <c r="I12" s="121" t="s">
        <v>2</v>
      </c>
      <c r="J12" s="44" t="s">
        <v>2</v>
      </c>
      <c r="K12" s="171" t="s">
        <v>1</v>
      </c>
      <c r="L12" s="43" t="s">
        <v>1</v>
      </c>
      <c r="M12" s="121" t="s">
        <v>2</v>
      </c>
      <c r="N12" s="121" t="s">
        <v>2</v>
      </c>
      <c r="O12" s="44" t="s">
        <v>2</v>
      </c>
      <c r="P12" s="121" t="s">
        <v>2</v>
      </c>
      <c r="Q12" s="44" t="s">
        <v>2</v>
      </c>
      <c r="R12" s="171" t="s">
        <v>1</v>
      </c>
      <c r="S12" s="43" t="s">
        <v>1</v>
      </c>
      <c r="T12" s="121" t="s">
        <v>2</v>
      </c>
      <c r="U12" s="121" t="s">
        <v>2</v>
      </c>
      <c r="V12" s="44" t="s">
        <v>2</v>
      </c>
      <c r="W12" s="121" t="s">
        <v>2</v>
      </c>
      <c r="X12" s="44" t="s">
        <v>2</v>
      </c>
      <c r="Y12" s="171" t="s">
        <v>1</v>
      </c>
      <c r="Z12" s="43" t="s">
        <v>1</v>
      </c>
      <c r="AA12" s="121" t="s">
        <v>2</v>
      </c>
      <c r="AB12" s="121" t="s">
        <v>2</v>
      </c>
      <c r="AC12" s="44" t="s">
        <v>2</v>
      </c>
      <c r="AD12" s="171" t="s">
        <v>1</v>
      </c>
      <c r="AE12" s="44" t="s">
        <v>1</v>
      </c>
      <c r="AF12" s="171" t="s">
        <v>21</v>
      </c>
      <c r="AG12" s="43" t="s">
        <v>1</v>
      </c>
      <c r="AH12" s="121" t="s">
        <v>2</v>
      </c>
      <c r="AI12" s="121" t="s">
        <v>2</v>
      </c>
      <c r="AJ12" s="44" t="s">
        <v>2</v>
      </c>
      <c r="AK12" s="121"/>
      <c r="AL12" s="221">
        <f t="shared" si="0"/>
        <v>0</v>
      </c>
      <c r="AM12" s="260">
        <f t="shared" si="1"/>
        <v>20</v>
      </c>
      <c r="AN12" s="32">
        <f t="shared" si="2"/>
        <v>10</v>
      </c>
      <c r="AO12" s="167">
        <f t="shared" si="3"/>
        <v>10</v>
      </c>
      <c r="AP12" s="10"/>
    </row>
    <row r="13" spans="1:81" ht="22" customHeight="1">
      <c r="A13" s="701"/>
      <c r="B13" s="353">
        <v>8</v>
      </c>
      <c r="C13" s="714" t="s">
        <v>26</v>
      </c>
      <c r="D13" s="715"/>
      <c r="E13" s="716" t="s">
        <v>31</v>
      </c>
      <c r="F13" s="717"/>
      <c r="G13" s="270" t="s">
        <v>2</v>
      </c>
      <c r="H13" s="169" t="s">
        <v>2</v>
      </c>
      <c r="I13" s="169" t="s">
        <v>2</v>
      </c>
      <c r="J13" s="81" t="s">
        <v>2</v>
      </c>
      <c r="K13" s="271" t="s">
        <v>2</v>
      </c>
      <c r="L13" s="336" t="s">
        <v>1</v>
      </c>
      <c r="M13" s="233" t="s">
        <v>21</v>
      </c>
      <c r="N13" s="75" t="s">
        <v>2</v>
      </c>
      <c r="O13" s="75" t="s">
        <v>2</v>
      </c>
      <c r="P13" s="75" t="s">
        <v>2</v>
      </c>
      <c r="Q13" s="39" t="s">
        <v>2</v>
      </c>
      <c r="R13" s="233" t="s">
        <v>21</v>
      </c>
      <c r="S13" s="335" t="s">
        <v>1</v>
      </c>
      <c r="T13" s="75" t="s">
        <v>2</v>
      </c>
      <c r="U13" s="39" t="s">
        <v>2</v>
      </c>
      <c r="V13" s="570" t="s">
        <v>0</v>
      </c>
      <c r="W13" s="75" t="s">
        <v>2</v>
      </c>
      <c r="X13" s="39" t="s">
        <v>2</v>
      </c>
      <c r="Y13" s="75" t="s">
        <v>2</v>
      </c>
      <c r="Z13" s="335" t="s">
        <v>1</v>
      </c>
      <c r="AA13" s="270" t="s">
        <v>2</v>
      </c>
      <c r="AB13" s="169" t="s">
        <v>2</v>
      </c>
      <c r="AC13" s="279" t="s">
        <v>1</v>
      </c>
      <c r="AD13" s="376" t="s">
        <v>1</v>
      </c>
      <c r="AE13" s="317" t="s">
        <v>1</v>
      </c>
      <c r="AF13" s="364" t="s">
        <v>1</v>
      </c>
      <c r="AG13" s="336" t="s">
        <v>1</v>
      </c>
      <c r="AH13" s="75" t="s">
        <v>2</v>
      </c>
      <c r="AI13" s="75" t="s">
        <v>2</v>
      </c>
      <c r="AJ13" s="259" t="s">
        <v>2</v>
      </c>
      <c r="AK13" s="359"/>
      <c r="AL13" s="267">
        <f t="shared" si="0"/>
        <v>1</v>
      </c>
      <c r="AM13" s="21">
        <f t="shared" si="1"/>
        <v>19</v>
      </c>
      <c r="AN13" s="22">
        <f t="shared" si="2"/>
        <v>10</v>
      </c>
      <c r="AO13" s="27">
        <f t="shared" si="3"/>
        <v>11</v>
      </c>
      <c r="AP13" s="238"/>
      <c r="AQ13" s="470"/>
      <c r="AR13" s="700"/>
      <c r="AS13" s="700"/>
      <c r="AT13"/>
    </row>
    <row r="14" spans="1:81" ht="21.75" customHeight="1">
      <c r="A14" s="19" t="s">
        <v>80</v>
      </c>
      <c r="B14" s="301">
        <v>9</v>
      </c>
      <c r="C14" s="684" t="s">
        <v>39</v>
      </c>
      <c r="D14" s="685"/>
      <c r="E14" s="698" t="s">
        <v>31</v>
      </c>
      <c r="F14" s="699"/>
      <c r="G14" s="280" t="s">
        <v>2</v>
      </c>
      <c r="H14" s="59" t="s">
        <v>2</v>
      </c>
      <c r="I14" s="59" t="s">
        <v>2</v>
      </c>
      <c r="J14" s="40" t="s">
        <v>2</v>
      </c>
      <c r="K14" s="318" t="s">
        <v>21</v>
      </c>
      <c r="L14" s="74" t="s">
        <v>21</v>
      </c>
      <c r="M14" s="40" t="s">
        <v>2</v>
      </c>
      <c r="N14" s="59" t="s">
        <v>2</v>
      </c>
      <c r="O14" s="114" t="s">
        <v>21</v>
      </c>
      <c r="P14" s="59" t="s">
        <v>2</v>
      </c>
      <c r="Q14" s="59" t="s">
        <v>2</v>
      </c>
      <c r="R14" s="40" t="s">
        <v>2</v>
      </c>
      <c r="S14" s="74" t="s">
        <v>21</v>
      </c>
      <c r="T14" s="137" t="s">
        <v>1</v>
      </c>
      <c r="U14" s="59" t="s">
        <v>2</v>
      </c>
      <c r="V14" s="59" t="s">
        <v>2</v>
      </c>
      <c r="W14" s="59" t="s">
        <v>2</v>
      </c>
      <c r="X14" s="59" t="s">
        <v>2</v>
      </c>
      <c r="Y14" s="114" t="s">
        <v>21</v>
      </c>
      <c r="Z14" s="74" t="s">
        <v>21</v>
      </c>
      <c r="AA14" s="285" t="s">
        <v>2</v>
      </c>
      <c r="AB14" s="59" t="s">
        <v>2</v>
      </c>
      <c r="AC14" s="59" t="s">
        <v>2</v>
      </c>
      <c r="AD14" s="114" t="s">
        <v>21</v>
      </c>
      <c r="AE14" s="74" t="s">
        <v>21</v>
      </c>
      <c r="AF14" s="313" t="s">
        <v>2</v>
      </c>
      <c r="AG14" s="74" t="s">
        <v>21</v>
      </c>
      <c r="AH14" s="111" t="s">
        <v>40</v>
      </c>
      <c r="AI14" s="59" t="s">
        <v>2</v>
      </c>
      <c r="AJ14" s="147" t="s">
        <v>2</v>
      </c>
      <c r="AK14" s="229"/>
      <c r="AL14" s="268">
        <f t="shared" si="0"/>
        <v>1</v>
      </c>
      <c r="AM14" s="25">
        <f t="shared" si="1"/>
        <v>19</v>
      </c>
      <c r="AN14" s="26">
        <f t="shared" si="2"/>
        <v>10</v>
      </c>
      <c r="AO14" s="29">
        <f t="shared" si="3"/>
        <v>11</v>
      </c>
      <c r="AP14" s="238"/>
      <c r="AQ14"/>
      <c r="AR14" s="96"/>
      <c r="AS14" s="96"/>
    </row>
    <row r="15" spans="1:81" ht="21.75" customHeight="1">
      <c r="A15" s="19"/>
      <c r="B15" s="301">
        <v>10</v>
      </c>
      <c r="C15" s="684" t="s">
        <v>49</v>
      </c>
      <c r="D15" s="685"/>
      <c r="E15" s="698" t="s">
        <v>31</v>
      </c>
      <c r="F15" s="699"/>
      <c r="G15" s="333" t="s">
        <v>21</v>
      </c>
      <c r="H15" s="40" t="s">
        <v>2</v>
      </c>
      <c r="I15" s="40" t="s">
        <v>2</v>
      </c>
      <c r="J15" s="59" t="s">
        <v>2</v>
      </c>
      <c r="K15" s="318" t="s">
        <v>21</v>
      </c>
      <c r="L15" s="110" t="s">
        <v>21</v>
      </c>
      <c r="M15" s="59" t="s">
        <v>2</v>
      </c>
      <c r="N15" s="40" t="s">
        <v>2</v>
      </c>
      <c r="O15" s="40" t="s">
        <v>2</v>
      </c>
      <c r="P15" s="40" t="s">
        <v>2</v>
      </c>
      <c r="Q15" s="40" t="s">
        <v>2</v>
      </c>
      <c r="R15" s="114" t="s">
        <v>21</v>
      </c>
      <c r="S15" s="110" t="s">
        <v>21</v>
      </c>
      <c r="T15" s="59" t="s">
        <v>2</v>
      </c>
      <c r="U15" s="59" t="s">
        <v>2</v>
      </c>
      <c r="V15" s="40" t="s">
        <v>2</v>
      </c>
      <c r="W15" s="59" t="s">
        <v>2</v>
      </c>
      <c r="X15" s="57" t="s">
        <v>1</v>
      </c>
      <c r="Y15" s="564" t="s">
        <v>40</v>
      </c>
      <c r="Z15" s="110" t="s">
        <v>21</v>
      </c>
      <c r="AA15" s="280" t="s">
        <v>2</v>
      </c>
      <c r="AB15" s="59" t="s">
        <v>2</v>
      </c>
      <c r="AC15" s="40" t="s">
        <v>2</v>
      </c>
      <c r="AD15" s="137" t="s">
        <v>1</v>
      </c>
      <c r="AE15" s="110" t="s">
        <v>21</v>
      </c>
      <c r="AF15" s="284" t="s">
        <v>2</v>
      </c>
      <c r="AG15" s="110" t="s">
        <v>21</v>
      </c>
      <c r="AH15" s="59" t="s">
        <v>2</v>
      </c>
      <c r="AI15" s="59" t="s">
        <v>2</v>
      </c>
      <c r="AJ15" s="65" t="s">
        <v>2</v>
      </c>
      <c r="AK15" s="198"/>
      <c r="AL15" s="268">
        <f t="shared" si="0"/>
        <v>1</v>
      </c>
      <c r="AM15" s="25">
        <f t="shared" si="1"/>
        <v>19</v>
      </c>
      <c r="AN15" s="26">
        <f t="shared" si="2"/>
        <v>10</v>
      </c>
      <c r="AO15" s="29">
        <f t="shared" si="3"/>
        <v>11</v>
      </c>
      <c r="AP15" s="10"/>
      <c r="AR15" s="96"/>
      <c r="AS15" s="96"/>
    </row>
    <row r="16" spans="1:81" ht="21.75" customHeight="1" thickBot="1">
      <c r="A16" s="19" t="s">
        <v>613</v>
      </c>
      <c r="B16" s="301">
        <v>11</v>
      </c>
      <c r="C16" s="696" t="s">
        <v>192</v>
      </c>
      <c r="D16" s="697"/>
      <c r="E16" s="698" t="s">
        <v>31</v>
      </c>
      <c r="F16" s="699"/>
      <c r="G16" s="274" t="s">
        <v>2</v>
      </c>
      <c r="H16" s="275" t="s">
        <v>2</v>
      </c>
      <c r="I16" s="277" t="s">
        <v>0</v>
      </c>
      <c r="J16" s="275" t="s">
        <v>2</v>
      </c>
      <c r="K16" s="282" t="s">
        <v>2</v>
      </c>
      <c r="L16" s="74" t="s">
        <v>21</v>
      </c>
      <c r="M16" s="59" t="s">
        <v>2</v>
      </c>
      <c r="N16" s="59" t="s">
        <v>2</v>
      </c>
      <c r="O16" s="59" t="s">
        <v>2</v>
      </c>
      <c r="P16" s="137" t="s">
        <v>1</v>
      </c>
      <c r="Q16" s="59" t="s">
        <v>2</v>
      </c>
      <c r="R16" s="59" t="s">
        <v>2</v>
      </c>
      <c r="S16" s="74" t="s">
        <v>21</v>
      </c>
      <c r="T16" s="121" t="s">
        <v>2</v>
      </c>
      <c r="U16" s="171" t="s">
        <v>21</v>
      </c>
      <c r="V16" s="121" t="s">
        <v>2</v>
      </c>
      <c r="W16" s="44" t="s">
        <v>2</v>
      </c>
      <c r="X16" s="121" t="s">
        <v>2</v>
      </c>
      <c r="Y16" s="114" t="s">
        <v>21</v>
      </c>
      <c r="Z16" s="74" t="s">
        <v>21</v>
      </c>
      <c r="AA16" s="274" t="s">
        <v>2</v>
      </c>
      <c r="AB16" s="275" t="s">
        <v>2</v>
      </c>
      <c r="AC16" s="275" t="s">
        <v>2</v>
      </c>
      <c r="AD16" s="321" t="s">
        <v>2</v>
      </c>
      <c r="AE16" s="503" t="s">
        <v>21</v>
      </c>
      <c r="AF16" s="373" t="s">
        <v>1</v>
      </c>
      <c r="AG16" s="74" t="s">
        <v>21</v>
      </c>
      <c r="AH16" s="59" t="s">
        <v>2</v>
      </c>
      <c r="AI16" s="59" t="s">
        <v>2</v>
      </c>
      <c r="AJ16" s="226" t="s">
        <v>1</v>
      </c>
      <c r="AK16" s="198"/>
      <c r="AL16" s="268">
        <f t="shared" si="0"/>
        <v>1</v>
      </c>
      <c r="AM16" s="25">
        <f t="shared" si="1"/>
        <v>19</v>
      </c>
      <c r="AN16" s="26">
        <f t="shared" si="2"/>
        <v>10</v>
      </c>
      <c r="AO16" s="29">
        <f t="shared" si="3"/>
        <v>11</v>
      </c>
      <c r="AP16" s="238"/>
      <c r="AQ16" s="689"/>
      <c r="AR16" s="689"/>
      <c r="AS16" s="653"/>
      <c r="AT16" s="653"/>
      <c r="AU16" s="156"/>
      <c r="AV16" s="157"/>
      <c r="AW16" s="157"/>
      <c r="AX16" s="218"/>
      <c r="AY16" s="157"/>
      <c r="AZ16" s="218"/>
      <c r="BA16" s="157"/>
      <c r="BB16" s="203"/>
      <c r="BC16" s="157"/>
      <c r="BD16" s="157"/>
      <c r="BE16" s="157"/>
      <c r="BF16" s="157"/>
      <c r="BG16" s="157"/>
      <c r="BH16" s="157"/>
      <c r="BI16" s="156"/>
      <c r="BJ16" s="157"/>
      <c r="BK16" s="157"/>
      <c r="BL16" s="158"/>
      <c r="BM16" s="158"/>
      <c r="BN16" s="157"/>
      <c r="BO16" s="157"/>
      <c r="BP16" s="302"/>
      <c r="BQ16" s="157"/>
      <c r="BR16" s="157"/>
      <c r="BS16" s="158"/>
      <c r="BT16" s="157"/>
      <c r="BU16" s="299"/>
      <c r="BV16" s="157"/>
      <c r="BW16" s="157"/>
      <c r="BX16" s="157"/>
      <c r="BY16" s="156"/>
      <c r="BZ16" s="159"/>
      <c r="CA16" s="161"/>
      <c r="CB16" s="160"/>
      <c r="CC16" s="160"/>
    </row>
    <row r="17" spans="1:83" ht="21.75" customHeight="1">
      <c r="A17" s="19"/>
      <c r="B17" s="301">
        <v>12</v>
      </c>
      <c r="C17" s="682" t="s">
        <v>25</v>
      </c>
      <c r="D17" s="683"/>
      <c r="E17" s="698" t="s">
        <v>30</v>
      </c>
      <c r="F17" s="699"/>
      <c r="G17" s="61" t="s">
        <v>2</v>
      </c>
      <c r="H17" s="201" t="s">
        <v>0</v>
      </c>
      <c r="I17" s="71" t="s">
        <v>2</v>
      </c>
      <c r="J17" s="71" t="s">
        <v>2</v>
      </c>
      <c r="K17" s="569" t="s">
        <v>21</v>
      </c>
      <c r="L17" s="47" t="s">
        <v>21</v>
      </c>
      <c r="M17" s="40" t="s">
        <v>2</v>
      </c>
      <c r="N17" s="40" t="s">
        <v>2</v>
      </c>
      <c r="O17" s="59" t="s">
        <v>2</v>
      </c>
      <c r="P17" s="59" t="s">
        <v>2</v>
      </c>
      <c r="Q17" s="137" t="s">
        <v>1</v>
      </c>
      <c r="R17" s="40" t="s">
        <v>2</v>
      </c>
      <c r="S17" s="74" t="s">
        <v>21</v>
      </c>
      <c r="T17" s="323" t="s">
        <v>2</v>
      </c>
      <c r="U17" s="319" t="s">
        <v>1</v>
      </c>
      <c r="V17" s="169" t="s">
        <v>2</v>
      </c>
      <c r="W17" s="169" t="s">
        <v>2</v>
      </c>
      <c r="X17" s="169" t="s">
        <v>2</v>
      </c>
      <c r="Y17" s="287" t="s">
        <v>2</v>
      </c>
      <c r="Z17" s="47" t="s">
        <v>21</v>
      </c>
      <c r="AA17" s="42" t="s">
        <v>2</v>
      </c>
      <c r="AB17" s="71" t="s">
        <v>2</v>
      </c>
      <c r="AC17" s="71" t="s">
        <v>2</v>
      </c>
      <c r="AD17" s="137" t="s">
        <v>1</v>
      </c>
      <c r="AE17" s="62" t="s">
        <v>21</v>
      </c>
      <c r="AF17" s="56" t="s">
        <v>21</v>
      </c>
      <c r="AG17" s="47" t="s">
        <v>21</v>
      </c>
      <c r="AH17" s="40" t="s">
        <v>2</v>
      </c>
      <c r="AI17" s="3" t="s">
        <v>0</v>
      </c>
      <c r="AJ17" s="147" t="s">
        <v>2</v>
      </c>
      <c r="AK17" s="189"/>
      <c r="AL17" s="268">
        <f t="shared" si="0"/>
        <v>2</v>
      </c>
      <c r="AM17" s="25">
        <f t="shared" si="1"/>
        <v>18</v>
      </c>
      <c r="AN17" s="26">
        <f t="shared" si="2"/>
        <v>10</v>
      </c>
      <c r="AO17" s="29">
        <f t="shared" si="3"/>
        <v>12</v>
      </c>
      <c r="AP17" s="238"/>
      <c r="AQ17" s="689"/>
      <c r="AR17" s="689"/>
      <c r="AS17" s="653"/>
      <c r="AT17" s="653"/>
      <c r="AU17" s="156"/>
      <c r="AV17" s="157"/>
      <c r="AW17" s="157"/>
      <c r="AX17" s="158"/>
      <c r="AY17" s="156"/>
      <c r="AZ17" s="156"/>
      <c r="BA17" s="156"/>
      <c r="BB17" s="156"/>
      <c r="BC17" s="157"/>
      <c r="BD17" s="206"/>
      <c r="BE17" s="206"/>
      <c r="BF17" s="218"/>
      <c r="BG17" s="206"/>
      <c r="BH17" s="16"/>
      <c r="BI17" s="156"/>
      <c r="BJ17" s="157"/>
      <c r="BK17" s="206"/>
      <c r="BL17" s="218"/>
      <c r="BM17" s="218"/>
      <c r="BN17" s="218"/>
      <c r="BO17" s="206"/>
      <c r="BP17" s="203"/>
      <c r="BQ17" s="157"/>
      <c r="BR17" s="206"/>
      <c r="BS17" s="218"/>
      <c r="BT17" s="218"/>
      <c r="BU17" s="306"/>
      <c r="BV17" s="218"/>
      <c r="BW17" s="203"/>
      <c r="BX17" s="157"/>
      <c r="BY17" s="157"/>
      <c r="BZ17" s="159"/>
      <c r="CA17" s="161"/>
      <c r="CB17" s="160"/>
      <c r="CC17" s="160"/>
    </row>
    <row r="18" spans="1:83" ht="22" customHeight="1">
      <c r="A18" s="19"/>
      <c r="B18" s="301">
        <v>13</v>
      </c>
      <c r="C18" s="690" t="s">
        <v>38</v>
      </c>
      <c r="D18" s="691"/>
      <c r="E18" s="686" t="s">
        <v>31</v>
      </c>
      <c r="F18" s="686"/>
      <c r="G18" s="58" t="s">
        <v>2</v>
      </c>
      <c r="H18" s="40" t="s">
        <v>2</v>
      </c>
      <c r="I18" s="59" t="s">
        <v>2</v>
      </c>
      <c r="J18" s="40" t="s">
        <v>2</v>
      </c>
      <c r="K18" s="137" t="s">
        <v>1</v>
      </c>
      <c r="L18" s="110" t="s">
        <v>21</v>
      </c>
      <c r="M18" s="40" t="s">
        <v>2</v>
      </c>
      <c r="N18" s="59" t="s">
        <v>2</v>
      </c>
      <c r="O18" s="40" t="s">
        <v>2</v>
      </c>
      <c r="P18" s="59" t="s">
        <v>2</v>
      </c>
      <c r="Q18" s="59" t="s">
        <v>2</v>
      </c>
      <c r="R18" s="114" t="s">
        <v>21</v>
      </c>
      <c r="S18" s="110" t="s">
        <v>21</v>
      </c>
      <c r="T18" s="285" t="s">
        <v>2</v>
      </c>
      <c r="U18" s="40" t="s">
        <v>2</v>
      </c>
      <c r="V18" s="40" t="s">
        <v>2</v>
      </c>
      <c r="W18" s="59" t="s">
        <v>2</v>
      </c>
      <c r="X18" s="91" t="s">
        <v>40</v>
      </c>
      <c r="Y18" s="382" t="s">
        <v>1</v>
      </c>
      <c r="Z18" s="110" t="s">
        <v>21</v>
      </c>
      <c r="AA18" s="114" t="s">
        <v>21</v>
      </c>
      <c r="AB18" s="59" t="s">
        <v>2</v>
      </c>
      <c r="AC18" s="40" t="s">
        <v>2</v>
      </c>
      <c r="AD18" s="40" t="s">
        <v>2</v>
      </c>
      <c r="AE18" s="110" t="s">
        <v>21</v>
      </c>
      <c r="AF18" s="57" t="s">
        <v>1</v>
      </c>
      <c r="AG18" s="110" t="s">
        <v>21</v>
      </c>
      <c r="AH18" s="59" t="s">
        <v>2</v>
      </c>
      <c r="AI18" s="59" t="s">
        <v>2</v>
      </c>
      <c r="AJ18" s="65" t="s">
        <v>2</v>
      </c>
      <c r="AK18" s="198"/>
      <c r="AL18" s="268">
        <f t="shared" si="0"/>
        <v>1</v>
      </c>
      <c r="AM18" s="25">
        <f t="shared" si="1"/>
        <v>19</v>
      </c>
      <c r="AN18" s="26">
        <f t="shared" si="2"/>
        <v>10</v>
      </c>
      <c r="AO18" s="29">
        <f t="shared" si="3"/>
        <v>11</v>
      </c>
      <c r="AP18" s="238"/>
      <c r="AQ18" s="303"/>
      <c r="AR18" s="692"/>
      <c r="AS18" s="692"/>
      <c r="AT18" s="693"/>
      <c r="AU18" s="693"/>
      <c r="AV18" s="158"/>
      <c r="AW18" s="157"/>
      <c r="AX18" s="157"/>
      <c r="AY18" s="158"/>
      <c r="AZ18" s="157"/>
      <c r="BA18" s="157"/>
      <c r="BB18" s="157"/>
      <c r="BC18" s="157"/>
      <c r="BD18" s="157"/>
      <c r="BE18" s="157"/>
      <c r="BF18" s="158"/>
      <c r="BG18" s="157"/>
      <c r="BH18" s="158"/>
      <c r="BI18" s="158"/>
      <c r="BJ18" s="158"/>
      <c r="BK18" s="157"/>
      <c r="BL18" s="158"/>
      <c r="BM18" s="157"/>
      <c r="BN18" s="157"/>
      <c r="BO18" s="304"/>
      <c r="BP18" s="157"/>
      <c r="BQ18" s="157"/>
      <c r="BR18" s="157"/>
      <c r="BS18" s="157"/>
      <c r="BT18" s="158"/>
      <c r="BU18" s="157"/>
      <c r="BV18" s="299"/>
      <c r="BW18" s="157"/>
      <c r="BX18" s="158"/>
      <c r="BY18" s="157"/>
      <c r="BZ18" s="158"/>
      <c r="CA18" s="305"/>
      <c r="CB18" s="161"/>
      <c r="CC18" s="161"/>
      <c r="CD18" s="161"/>
    </row>
    <row r="19" spans="1:83" ht="22" customHeight="1" thickBot="1">
      <c r="A19" s="19"/>
      <c r="B19" s="301">
        <v>14</v>
      </c>
      <c r="C19" s="684" t="s">
        <v>48</v>
      </c>
      <c r="D19" s="685"/>
      <c r="E19" s="694" t="s">
        <v>31</v>
      </c>
      <c r="F19" s="695"/>
      <c r="G19" s="58" t="s">
        <v>2</v>
      </c>
      <c r="H19" s="59" t="s">
        <v>2</v>
      </c>
      <c r="I19" s="59" t="s">
        <v>2</v>
      </c>
      <c r="J19" s="57" t="s">
        <v>21</v>
      </c>
      <c r="K19" s="59" t="s">
        <v>2</v>
      </c>
      <c r="L19" s="74" t="s">
        <v>21</v>
      </c>
      <c r="M19" s="121" t="s">
        <v>2</v>
      </c>
      <c r="N19" s="121" t="s">
        <v>2</v>
      </c>
      <c r="O19" s="137" t="s">
        <v>1</v>
      </c>
      <c r="P19" s="44" t="s">
        <v>2</v>
      </c>
      <c r="Q19" s="121" t="s">
        <v>2</v>
      </c>
      <c r="R19" s="137" t="s">
        <v>21</v>
      </c>
      <c r="S19" s="74" t="s">
        <v>21</v>
      </c>
      <c r="T19" s="274" t="s">
        <v>2</v>
      </c>
      <c r="U19" s="321" t="s">
        <v>2</v>
      </c>
      <c r="V19" s="321" t="s">
        <v>2</v>
      </c>
      <c r="W19" s="275" t="s">
        <v>2</v>
      </c>
      <c r="X19" s="275" t="s">
        <v>2</v>
      </c>
      <c r="Y19" s="315" t="s">
        <v>21</v>
      </c>
      <c r="Z19" s="74" t="s">
        <v>21</v>
      </c>
      <c r="AA19" s="40" t="s">
        <v>2</v>
      </c>
      <c r="AB19" s="59" t="s">
        <v>2</v>
      </c>
      <c r="AC19" s="59" t="s">
        <v>2</v>
      </c>
      <c r="AD19" s="57" t="s">
        <v>21</v>
      </c>
      <c r="AE19" s="74" t="s">
        <v>21</v>
      </c>
      <c r="AF19" s="59" t="s">
        <v>2</v>
      </c>
      <c r="AG19" s="74" t="s">
        <v>21</v>
      </c>
      <c r="AH19" s="44" t="s">
        <v>2</v>
      </c>
      <c r="AI19" s="121" t="s">
        <v>2</v>
      </c>
      <c r="AJ19" s="568" t="s">
        <v>40</v>
      </c>
      <c r="AK19" s="198"/>
      <c r="AL19" s="268">
        <f t="shared" si="0"/>
        <v>1</v>
      </c>
      <c r="AM19" s="25">
        <f t="shared" si="1"/>
        <v>19</v>
      </c>
      <c r="AN19" s="26">
        <f t="shared" si="2"/>
        <v>10</v>
      </c>
      <c r="AO19" s="29">
        <f t="shared" si="3"/>
        <v>11</v>
      </c>
      <c r="AP19" s="10"/>
      <c r="AQ19" s="689"/>
      <c r="AR19" s="689"/>
      <c r="AS19" s="653"/>
      <c r="AT19" s="653"/>
      <c r="AU19" s="304"/>
      <c r="AV19" s="158"/>
      <c r="AW19" s="158"/>
      <c r="AX19" s="158"/>
      <c r="AY19" s="157"/>
      <c r="AZ19" s="157"/>
      <c r="BA19" s="158"/>
      <c r="BB19" s="156"/>
      <c r="BC19" s="158"/>
      <c r="BD19" s="158"/>
      <c r="BE19" s="489"/>
      <c r="BF19" s="157"/>
      <c r="BG19" s="156"/>
      <c r="BH19" s="158"/>
      <c r="BI19" s="158"/>
      <c r="BJ19" s="489"/>
      <c r="BK19" s="157"/>
      <c r="BL19" s="158"/>
      <c r="BM19" s="157"/>
      <c r="BN19" s="158"/>
      <c r="BO19" s="158"/>
      <c r="BP19" s="203"/>
      <c r="BQ19" s="158"/>
      <c r="BR19" s="304"/>
      <c r="BS19" s="304"/>
      <c r="BT19" s="157"/>
      <c r="BU19" s="156"/>
      <c r="BV19" s="158"/>
      <c r="BW19" s="156"/>
      <c r="BX19" s="158"/>
      <c r="BY19" s="158"/>
      <c r="BZ19" s="159"/>
      <c r="CA19" s="161"/>
      <c r="CB19" s="160"/>
      <c r="CC19" s="160"/>
    </row>
    <row r="20" spans="1:83" ht="22" customHeight="1">
      <c r="A20" s="19">
        <v>5</v>
      </c>
      <c r="B20" s="301">
        <v>15</v>
      </c>
      <c r="C20" s="684" t="s">
        <v>45</v>
      </c>
      <c r="D20" s="685"/>
      <c r="E20" s="686" t="s">
        <v>31</v>
      </c>
      <c r="F20" s="686"/>
      <c r="G20" s="58" t="s">
        <v>2</v>
      </c>
      <c r="H20" s="59" t="s">
        <v>2</v>
      </c>
      <c r="I20" s="59" t="s">
        <v>2</v>
      </c>
      <c r="J20" s="40" t="s">
        <v>2</v>
      </c>
      <c r="K20" s="153" t="s">
        <v>1</v>
      </c>
      <c r="L20" s="89" t="s">
        <v>21</v>
      </c>
      <c r="M20" s="323" t="s">
        <v>2</v>
      </c>
      <c r="N20" s="169" t="s">
        <v>2</v>
      </c>
      <c r="O20" s="169" t="s">
        <v>2</v>
      </c>
      <c r="P20" s="567" t="s">
        <v>0</v>
      </c>
      <c r="Q20" s="319" t="s">
        <v>1</v>
      </c>
      <c r="R20" s="356" t="s">
        <v>1</v>
      </c>
      <c r="S20" s="74" t="s">
        <v>21</v>
      </c>
      <c r="T20" s="57" t="s">
        <v>1</v>
      </c>
      <c r="U20" s="42" t="s">
        <v>2</v>
      </c>
      <c r="V20" s="105" t="s">
        <v>2</v>
      </c>
      <c r="W20" s="71" t="s">
        <v>2</v>
      </c>
      <c r="X20" s="71" t="s">
        <v>2</v>
      </c>
      <c r="Y20" s="71" t="s">
        <v>2</v>
      </c>
      <c r="Z20" s="89" t="s">
        <v>21</v>
      </c>
      <c r="AA20" s="567" t="s">
        <v>0</v>
      </c>
      <c r="AB20" s="40" t="s">
        <v>2</v>
      </c>
      <c r="AC20" s="59" t="s">
        <v>2</v>
      </c>
      <c r="AD20" s="59" t="s">
        <v>2</v>
      </c>
      <c r="AE20" s="89" t="s">
        <v>21</v>
      </c>
      <c r="AF20" s="114" t="s">
        <v>21</v>
      </c>
      <c r="AG20" s="89" t="s">
        <v>21</v>
      </c>
      <c r="AH20" s="270" t="s">
        <v>2</v>
      </c>
      <c r="AI20" s="169" t="s">
        <v>2</v>
      </c>
      <c r="AJ20" s="271" t="s">
        <v>2</v>
      </c>
      <c r="AK20" s="229"/>
      <c r="AL20" s="268">
        <f t="shared" si="0"/>
        <v>2</v>
      </c>
      <c r="AM20" s="25">
        <f t="shared" si="1"/>
        <v>18</v>
      </c>
      <c r="AN20" s="26">
        <f t="shared" si="2"/>
        <v>10</v>
      </c>
      <c r="AO20" s="29">
        <f t="shared" si="3"/>
        <v>12</v>
      </c>
      <c r="AP20" s="10"/>
      <c r="AQ20" s="652"/>
      <c r="AR20" s="652"/>
      <c r="AS20" s="653"/>
      <c r="AT20" s="653"/>
      <c r="AU20" s="203"/>
      <c r="AV20" s="158"/>
      <c r="AW20" s="157"/>
      <c r="AX20" s="158"/>
      <c r="AY20" s="158"/>
      <c r="AZ20" s="157"/>
      <c r="BA20" s="157"/>
      <c r="BB20" s="203"/>
      <c r="BC20" s="158"/>
      <c r="BD20" s="157"/>
      <c r="BE20" s="156"/>
      <c r="BF20" s="158"/>
      <c r="BG20" s="158"/>
      <c r="BH20" s="157"/>
      <c r="BI20" s="158"/>
      <c r="BJ20" s="158"/>
      <c r="BK20" s="158"/>
      <c r="BL20" s="158"/>
      <c r="BM20" s="158"/>
      <c r="BN20" s="158"/>
      <c r="BO20" s="158"/>
      <c r="BP20" s="203"/>
      <c r="BQ20" s="158"/>
      <c r="BR20" s="157"/>
      <c r="BS20" s="158"/>
      <c r="BT20" s="158"/>
      <c r="BU20" s="158"/>
      <c r="BV20" s="156"/>
      <c r="BW20" s="158"/>
      <c r="BX20" s="158"/>
      <c r="BY20" s="156"/>
      <c r="BZ20" s="159"/>
      <c r="CA20" s="161"/>
      <c r="CB20" s="160"/>
      <c r="CC20" s="160"/>
    </row>
    <row r="21" spans="1:83" ht="22" customHeight="1">
      <c r="A21" s="19">
        <v>6</v>
      </c>
      <c r="B21" s="301">
        <v>16</v>
      </c>
      <c r="C21" s="687" t="s">
        <v>95</v>
      </c>
      <c r="D21" s="688"/>
      <c r="E21" s="686" t="s">
        <v>31</v>
      </c>
      <c r="F21" s="686"/>
      <c r="G21" s="70" t="s">
        <v>2</v>
      </c>
      <c r="H21" s="153" t="s">
        <v>21</v>
      </c>
      <c r="I21" s="565" t="s">
        <v>40</v>
      </c>
      <c r="J21" s="565" t="s">
        <v>0</v>
      </c>
      <c r="K21" s="57" t="s">
        <v>21</v>
      </c>
      <c r="L21" s="74" t="s">
        <v>1</v>
      </c>
      <c r="M21" s="566" t="s">
        <v>40</v>
      </c>
      <c r="N21" s="565" t="s">
        <v>40</v>
      </c>
      <c r="O21" s="564" t="s">
        <v>40</v>
      </c>
      <c r="P21" s="230" t="s">
        <v>2</v>
      </c>
      <c r="Q21" s="40" t="s">
        <v>2</v>
      </c>
      <c r="R21" s="313" t="s">
        <v>2</v>
      </c>
      <c r="S21" s="74" t="s">
        <v>1</v>
      </c>
      <c r="T21" s="40" t="s">
        <v>2</v>
      </c>
      <c r="U21" s="68" t="s">
        <v>2</v>
      </c>
      <c r="V21" s="563" t="s">
        <v>90</v>
      </c>
      <c r="W21" s="165" t="s">
        <v>21</v>
      </c>
      <c r="X21" s="40" t="s">
        <v>2</v>
      </c>
      <c r="Y21" s="40" t="s">
        <v>2</v>
      </c>
      <c r="Z21" s="74" t="s">
        <v>1</v>
      </c>
      <c r="AA21" s="40" t="s">
        <v>2</v>
      </c>
      <c r="AB21" s="40" t="s">
        <v>2</v>
      </c>
      <c r="AC21" s="59" t="s">
        <v>2</v>
      </c>
      <c r="AD21" s="57" t="s">
        <v>21</v>
      </c>
      <c r="AE21" s="74" t="s">
        <v>1</v>
      </c>
      <c r="AF21" s="57" t="s">
        <v>21</v>
      </c>
      <c r="AG21" s="74" t="s">
        <v>1</v>
      </c>
      <c r="AH21" s="285" t="s">
        <v>2</v>
      </c>
      <c r="AI21" s="40" t="s">
        <v>2</v>
      </c>
      <c r="AJ21" s="284" t="s">
        <v>2</v>
      </c>
      <c r="AK21" s="189"/>
      <c r="AL21" s="268">
        <f t="shared" si="0"/>
        <v>5</v>
      </c>
      <c r="AM21" s="25">
        <f t="shared" si="1"/>
        <v>14</v>
      </c>
      <c r="AN21" s="26">
        <f t="shared" si="2"/>
        <v>10</v>
      </c>
      <c r="AO21" s="29">
        <f t="shared" si="3"/>
        <v>15</v>
      </c>
      <c r="AP21" s="10"/>
      <c r="AQ21" s="689"/>
      <c r="AR21" s="689"/>
      <c r="AS21" s="653"/>
      <c r="AT21" s="653"/>
      <c r="AU21" s="304"/>
      <c r="AV21" s="158"/>
      <c r="AW21" s="158"/>
      <c r="AX21" s="158"/>
      <c r="AY21" s="157"/>
      <c r="AZ21" s="157"/>
      <c r="BA21" s="158"/>
      <c r="BB21" s="156"/>
      <c r="BC21" s="158"/>
      <c r="BD21" s="158"/>
      <c r="BE21" s="489"/>
      <c r="BF21" s="157"/>
      <c r="BG21" s="156"/>
      <c r="BH21" s="158"/>
      <c r="BI21" s="158"/>
      <c r="BJ21" s="489"/>
      <c r="BK21" s="157"/>
      <c r="BL21" s="158"/>
      <c r="BM21" s="157"/>
      <c r="BN21" s="158"/>
      <c r="BO21" s="158"/>
      <c r="BP21" s="203"/>
      <c r="BQ21" s="158"/>
      <c r="BR21" s="304"/>
      <c r="BS21" s="304"/>
      <c r="BT21" s="157"/>
      <c r="BU21" s="156"/>
      <c r="BV21" s="158"/>
      <c r="BW21" s="156"/>
      <c r="BX21" s="158"/>
      <c r="BY21" s="189"/>
    </row>
    <row r="22" spans="1:83" ht="22" customHeight="1">
      <c r="A22" s="19"/>
      <c r="B22" s="301">
        <v>17</v>
      </c>
      <c r="C22" s="682" t="s">
        <v>114</v>
      </c>
      <c r="D22" s="683"/>
      <c r="E22" s="673" t="s">
        <v>31</v>
      </c>
      <c r="F22" s="674"/>
      <c r="G22" s="58" t="s">
        <v>2</v>
      </c>
      <c r="H22" s="40" t="s">
        <v>2</v>
      </c>
      <c r="I22" s="59" t="s">
        <v>2</v>
      </c>
      <c r="J22" s="40" t="s">
        <v>2</v>
      </c>
      <c r="K22" s="137" t="s">
        <v>1</v>
      </c>
      <c r="L22" s="110" t="s">
        <v>1</v>
      </c>
      <c r="M22" s="280" t="s">
        <v>2</v>
      </c>
      <c r="N22" s="59" t="s">
        <v>2</v>
      </c>
      <c r="O22" s="40" t="s">
        <v>2</v>
      </c>
      <c r="P22" s="59" t="s">
        <v>2</v>
      </c>
      <c r="Q22" s="40" t="s">
        <v>2</v>
      </c>
      <c r="R22" s="312" t="s">
        <v>21</v>
      </c>
      <c r="S22" s="110" t="s">
        <v>1</v>
      </c>
      <c r="T22" s="59" t="s">
        <v>2</v>
      </c>
      <c r="U22" s="57" t="s">
        <v>21</v>
      </c>
      <c r="V22" s="42" t="s">
        <v>2</v>
      </c>
      <c r="W22" s="59" t="s">
        <v>2</v>
      </c>
      <c r="X22" s="40" t="s">
        <v>2</v>
      </c>
      <c r="Y22" s="114" t="s">
        <v>21</v>
      </c>
      <c r="Z22" s="110" t="s">
        <v>1</v>
      </c>
      <c r="AA22" s="59" t="s">
        <v>2</v>
      </c>
      <c r="AB22" s="111" t="s">
        <v>40</v>
      </c>
      <c r="AC22" s="40" t="s">
        <v>2</v>
      </c>
      <c r="AD22" s="59" t="s">
        <v>2</v>
      </c>
      <c r="AE22" s="110" t="s">
        <v>1</v>
      </c>
      <c r="AF22" s="137" t="s">
        <v>1</v>
      </c>
      <c r="AG22" s="110" t="s">
        <v>1</v>
      </c>
      <c r="AH22" s="280" t="s">
        <v>2</v>
      </c>
      <c r="AI22" s="59" t="s">
        <v>2</v>
      </c>
      <c r="AJ22" s="313" t="s">
        <v>2</v>
      </c>
      <c r="AK22" s="198"/>
      <c r="AL22" s="268">
        <f t="shared" si="0"/>
        <v>1</v>
      </c>
      <c r="AM22" s="25">
        <f t="shared" si="1"/>
        <v>19</v>
      </c>
      <c r="AN22" s="26">
        <f t="shared" si="2"/>
        <v>10</v>
      </c>
      <c r="AO22" s="29">
        <f t="shared" si="3"/>
        <v>11</v>
      </c>
      <c r="AP22" s="238"/>
      <c r="AR22" s="96"/>
      <c r="AS22" s="96"/>
    </row>
    <row r="23" spans="1:83" ht="22" customHeight="1" thickBot="1">
      <c r="A23" s="19"/>
      <c r="B23" s="54">
        <v>18</v>
      </c>
      <c r="C23" s="675" t="s">
        <v>200</v>
      </c>
      <c r="D23" s="676"/>
      <c r="E23" s="677" t="s">
        <v>31</v>
      </c>
      <c r="F23" s="677"/>
      <c r="G23" s="166" t="s">
        <v>21</v>
      </c>
      <c r="H23" s="93" t="s">
        <v>2</v>
      </c>
      <c r="I23" s="43" t="s">
        <v>2</v>
      </c>
      <c r="J23" s="43" t="s">
        <v>2</v>
      </c>
      <c r="K23" s="43" t="s">
        <v>2</v>
      </c>
      <c r="L23" s="168" t="s">
        <v>21</v>
      </c>
      <c r="M23" s="341" t="s">
        <v>2</v>
      </c>
      <c r="N23" s="321" t="s">
        <v>2</v>
      </c>
      <c r="O23" s="275" t="s">
        <v>2</v>
      </c>
      <c r="P23" s="321" t="s">
        <v>2</v>
      </c>
      <c r="Q23" s="275" t="s">
        <v>2</v>
      </c>
      <c r="R23" s="315" t="s">
        <v>1</v>
      </c>
      <c r="S23" s="46" t="s">
        <v>21</v>
      </c>
      <c r="T23" s="43" t="s">
        <v>2</v>
      </c>
      <c r="U23" s="43" t="s">
        <v>2</v>
      </c>
      <c r="V23" s="93" t="s">
        <v>2</v>
      </c>
      <c r="W23" s="93" t="s">
        <v>2</v>
      </c>
      <c r="X23" s="196" t="s">
        <v>40</v>
      </c>
      <c r="Y23" s="50" t="s">
        <v>21</v>
      </c>
      <c r="Z23" s="93" t="s">
        <v>21</v>
      </c>
      <c r="AA23" s="93" t="s">
        <v>2</v>
      </c>
      <c r="AB23" s="43" t="s">
        <v>2</v>
      </c>
      <c r="AC23" s="93" t="s">
        <v>2</v>
      </c>
      <c r="AD23" s="178" t="s">
        <v>21</v>
      </c>
      <c r="AE23" s="93" t="s">
        <v>21</v>
      </c>
      <c r="AF23" s="43" t="s">
        <v>2</v>
      </c>
      <c r="AG23" s="168" t="s">
        <v>21</v>
      </c>
      <c r="AH23" s="341" t="s">
        <v>2</v>
      </c>
      <c r="AI23" s="59" t="s">
        <v>2</v>
      </c>
      <c r="AJ23" s="315" t="s">
        <v>21</v>
      </c>
      <c r="AK23" s="192"/>
      <c r="AL23" s="369">
        <f t="shared" si="0"/>
        <v>1</v>
      </c>
      <c r="AM23" s="260">
        <f t="shared" si="1"/>
        <v>19</v>
      </c>
      <c r="AN23" s="32">
        <f t="shared" si="2"/>
        <v>10</v>
      </c>
      <c r="AO23" s="29">
        <f t="shared" si="3"/>
        <v>11</v>
      </c>
      <c r="AP23" s="10"/>
      <c r="AR23" s="300"/>
      <c r="AS23" s="652"/>
      <c r="AT23" s="652"/>
      <c r="AU23" s="653"/>
      <c r="AV23" s="653"/>
      <c r="AW23" s="203"/>
      <c r="AX23" s="157"/>
      <c r="AY23" s="157"/>
      <c r="AZ23" s="298"/>
      <c r="BA23" s="157"/>
      <c r="BB23" s="156"/>
      <c r="BC23" s="157"/>
      <c r="BD23" s="157"/>
      <c r="BE23" s="157"/>
      <c r="BF23" s="204"/>
      <c r="BG23" s="157"/>
      <c r="BH23" s="157"/>
      <c r="BI23" s="298"/>
      <c r="BJ23" s="157"/>
      <c r="BK23" s="157"/>
      <c r="BL23" s="157"/>
      <c r="BM23" s="204"/>
      <c r="BN23" s="156"/>
      <c r="BO23" s="157"/>
      <c r="BP23" s="157"/>
      <c r="BQ23" s="157"/>
      <c r="BR23" s="203"/>
      <c r="BS23" s="157"/>
      <c r="BT23" s="157"/>
      <c r="BU23" s="158"/>
      <c r="BV23" s="157"/>
      <c r="BW23" s="299"/>
      <c r="BX23" s="157"/>
      <c r="BY23" s="157"/>
      <c r="BZ23" s="157"/>
      <c r="CA23" s="157"/>
      <c r="CB23" s="159"/>
      <c r="CC23" s="161"/>
      <c r="CD23" s="160"/>
      <c r="CE23" s="160"/>
    </row>
    <row r="24" spans="1:83" ht="22" customHeight="1">
      <c r="A24" s="19"/>
      <c r="B24" s="416">
        <v>19</v>
      </c>
      <c r="C24" s="678" t="s">
        <v>197</v>
      </c>
      <c r="D24" s="679"/>
      <c r="E24" s="680" t="s">
        <v>94</v>
      </c>
      <c r="F24" s="681"/>
      <c r="G24" s="414" t="s">
        <v>2</v>
      </c>
      <c r="H24" s="49" t="s">
        <v>2</v>
      </c>
      <c r="I24" s="49" t="s">
        <v>2</v>
      </c>
      <c r="J24" s="49" t="s">
        <v>2</v>
      </c>
      <c r="K24" s="216" t="s">
        <v>21</v>
      </c>
      <c r="L24" s="291" t="s">
        <v>1</v>
      </c>
      <c r="M24" s="115" t="s">
        <v>2</v>
      </c>
      <c r="N24" s="115" t="s">
        <v>2</v>
      </c>
      <c r="O24" s="49" t="s">
        <v>2</v>
      </c>
      <c r="P24" s="115" t="s">
        <v>2</v>
      </c>
      <c r="Q24" s="49" t="s">
        <v>2</v>
      </c>
      <c r="R24" s="216" t="s">
        <v>21</v>
      </c>
      <c r="S24" s="291" t="s">
        <v>1</v>
      </c>
      <c r="T24" s="115" t="s">
        <v>2</v>
      </c>
      <c r="U24" s="115" t="s">
        <v>2</v>
      </c>
      <c r="V24" s="49" t="s">
        <v>2</v>
      </c>
      <c r="W24" s="115" t="s">
        <v>2</v>
      </c>
      <c r="X24" s="49" t="s">
        <v>2</v>
      </c>
      <c r="Y24" s="216" t="s">
        <v>21</v>
      </c>
      <c r="Z24" s="291" t="s">
        <v>1</v>
      </c>
      <c r="AA24" s="115" t="s">
        <v>2</v>
      </c>
      <c r="AB24" s="115" t="s">
        <v>2</v>
      </c>
      <c r="AC24" s="49" t="s">
        <v>2</v>
      </c>
      <c r="AD24" s="216" t="s">
        <v>21</v>
      </c>
      <c r="AE24" s="291" t="s">
        <v>1</v>
      </c>
      <c r="AF24" s="216" t="s">
        <v>21</v>
      </c>
      <c r="AG24" s="291" t="s">
        <v>1</v>
      </c>
      <c r="AH24" s="115" t="s">
        <v>2</v>
      </c>
      <c r="AI24" s="196" t="s">
        <v>40</v>
      </c>
      <c r="AJ24" s="49" t="s">
        <v>2</v>
      </c>
      <c r="AK24" s="554"/>
      <c r="AL24" s="532">
        <f t="shared" si="0"/>
        <v>1</v>
      </c>
      <c r="AM24" s="533">
        <f t="shared" si="1"/>
        <v>19</v>
      </c>
      <c r="AN24" s="534">
        <f t="shared" si="2"/>
        <v>10</v>
      </c>
      <c r="AO24" s="535">
        <f t="shared" si="3"/>
        <v>11</v>
      </c>
      <c r="AP24" s="10"/>
      <c r="AR24" s="652"/>
      <c r="AS24" s="652"/>
      <c r="AT24" s="653"/>
      <c r="AU24" s="653"/>
      <c r="AV24" s="203"/>
      <c r="AW24" s="157"/>
      <c r="AX24" s="157"/>
      <c r="AY24" s="298"/>
      <c r="AZ24" s="157"/>
      <c r="BA24" s="156"/>
      <c r="BB24" s="157"/>
      <c r="BC24" s="203"/>
      <c r="BD24" s="157"/>
      <c r="BE24" s="204"/>
      <c r="BF24" s="298"/>
      <c r="BG24" s="157"/>
      <c r="BH24" s="158"/>
      <c r="BI24" s="157"/>
      <c r="BJ24" s="298"/>
      <c r="BK24" s="157"/>
      <c r="BL24" s="204"/>
      <c r="BM24" s="156"/>
      <c r="BN24" s="157"/>
      <c r="BO24" s="298"/>
      <c r="BP24" s="157"/>
      <c r="BQ24" s="156"/>
      <c r="BR24" s="157"/>
      <c r="BS24" s="157"/>
      <c r="BT24" s="156"/>
      <c r="BU24" s="157"/>
      <c r="BV24" s="299"/>
      <c r="BW24" s="157"/>
      <c r="BX24" s="203"/>
      <c r="BY24" s="157"/>
      <c r="BZ24" s="157"/>
      <c r="CA24" s="159"/>
      <c r="CB24" s="161"/>
      <c r="CC24" s="160"/>
      <c r="CD24" s="160"/>
    </row>
    <row r="25" spans="1:83" ht="22.5" customHeight="1">
      <c r="A25" s="659"/>
      <c r="B25" s="660" t="s">
        <v>3</v>
      </c>
      <c r="C25" s="661"/>
      <c r="D25" s="661"/>
      <c r="E25" s="662"/>
      <c r="F25" s="552" t="s">
        <v>2</v>
      </c>
      <c r="G25" s="512">
        <f t="shared" ref="G25:L25" si="4">COUNTIF(G6:G24,"D")</f>
        <v>16</v>
      </c>
      <c r="H25" s="386">
        <f t="shared" si="4"/>
        <v>16</v>
      </c>
      <c r="I25" s="386">
        <f t="shared" si="4"/>
        <v>17</v>
      </c>
      <c r="J25" s="386">
        <f t="shared" si="4"/>
        <v>16</v>
      </c>
      <c r="K25" s="386">
        <f t="shared" si="4"/>
        <v>6</v>
      </c>
      <c r="L25" s="386">
        <f t="shared" si="4"/>
        <v>0</v>
      </c>
      <c r="M25" s="526" t="s">
        <v>84</v>
      </c>
      <c r="N25" s="386">
        <f t="shared" ref="N25:U25" si="5">COUNTIF(N6:N24,"D")</f>
        <v>17</v>
      </c>
      <c r="O25" s="386">
        <f t="shared" si="5"/>
        <v>15</v>
      </c>
      <c r="P25" s="386">
        <f t="shared" si="5"/>
        <v>15</v>
      </c>
      <c r="Q25" s="386">
        <f t="shared" si="5"/>
        <v>16</v>
      </c>
      <c r="R25" s="386">
        <f t="shared" si="5"/>
        <v>6</v>
      </c>
      <c r="S25" s="386">
        <f t="shared" si="5"/>
        <v>0</v>
      </c>
      <c r="T25" s="386">
        <f t="shared" si="5"/>
        <v>16</v>
      </c>
      <c r="U25" s="386">
        <f t="shared" si="5"/>
        <v>15</v>
      </c>
      <c r="V25" s="526">
        <v>15.5</v>
      </c>
      <c r="W25" s="526">
        <v>16</v>
      </c>
      <c r="X25" s="386">
        <v>15.5</v>
      </c>
      <c r="Y25" s="386">
        <f t="shared" ref="Y25:AK25" si="6">COUNTIF(Y6:Y24,"D")</f>
        <v>6</v>
      </c>
      <c r="Z25" s="386">
        <f t="shared" si="6"/>
        <v>0</v>
      </c>
      <c r="AA25" s="386">
        <f t="shared" si="6"/>
        <v>16</v>
      </c>
      <c r="AB25" s="386">
        <f t="shared" si="6"/>
        <v>17</v>
      </c>
      <c r="AC25" s="386">
        <f t="shared" si="6"/>
        <v>17</v>
      </c>
      <c r="AD25" s="386">
        <f t="shared" si="6"/>
        <v>6</v>
      </c>
      <c r="AE25" s="386">
        <f t="shared" si="6"/>
        <v>0</v>
      </c>
      <c r="AF25" s="386">
        <f t="shared" si="6"/>
        <v>6</v>
      </c>
      <c r="AG25" s="386">
        <f t="shared" si="6"/>
        <v>0</v>
      </c>
      <c r="AH25" s="386">
        <f t="shared" si="6"/>
        <v>18</v>
      </c>
      <c r="AI25" s="386">
        <f t="shared" si="6"/>
        <v>17</v>
      </c>
      <c r="AJ25" s="386">
        <f t="shared" si="6"/>
        <v>16</v>
      </c>
      <c r="AK25" s="386">
        <f t="shared" si="6"/>
        <v>0</v>
      </c>
      <c r="AL25" s="307">
        <f t="shared" si="0"/>
        <v>0</v>
      </c>
      <c r="AM25" s="293">
        <f t="shared" si="1"/>
        <v>0</v>
      </c>
      <c r="AN25" s="294">
        <f t="shared" si="2"/>
        <v>0</v>
      </c>
      <c r="AO25" s="295">
        <f t="shared" si="3"/>
        <v>0</v>
      </c>
      <c r="AP25" s="10"/>
    </row>
    <row r="26" spans="1:83" ht="22.5" customHeight="1">
      <c r="A26" s="659"/>
      <c r="B26" s="663" t="s">
        <v>4</v>
      </c>
      <c r="C26" s="664"/>
      <c r="D26" s="664"/>
      <c r="E26" s="665"/>
      <c r="F26" s="2" t="s">
        <v>1</v>
      </c>
      <c r="G26" s="14">
        <f t="shared" ref="G26:AK26" si="7">COUNTIF(G6:G24,"●")</f>
        <v>2</v>
      </c>
      <c r="H26" s="14">
        <f t="shared" si="7"/>
        <v>2</v>
      </c>
      <c r="I26" s="14">
        <f t="shared" si="7"/>
        <v>0</v>
      </c>
      <c r="J26" s="14">
        <f t="shared" si="7"/>
        <v>2</v>
      </c>
      <c r="K26" s="14">
        <f t="shared" si="7"/>
        <v>13</v>
      </c>
      <c r="L26" s="14">
        <f t="shared" si="7"/>
        <v>19</v>
      </c>
      <c r="M26" s="14">
        <f t="shared" si="7"/>
        <v>1</v>
      </c>
      <c r="N26" s="14">
        <f t="shared" si="7"/>
        <v>1</v>
      </c>
      <c r="O26" s="14">
        <f t="shared" si="7"/>
        <v>2</v>
      </c>
      <c r="P26" s="14">
        <f t="shared" si="7"/>
        <v>2</v>
      </c>
      <c r="Q26" s="14">
        <f t="shared" si="7"/>
        <v>3</v>
      </c>
      <c r="R26" s="14">
        <f t="shared" si="7"/>
        <v>13</v>
      </c>
      <c r="S26" s="14">
        <f t="shared" si="7"/>
        <v>19</v>
      </c>
      <c r="T26" s="14">
        <f t="shared" si="7"/>
        <v>3</v>
      </c>
      <c r="U26" s="14">
        <f t="shared" si="7"/>
        <v>3</v>
      </c>
      <c r="V26" s="14">
        <f t="shared" si="7"/>
        <v>1</v>
      </c>
      <c r="W26" s="14">
        <f t="shared" si="7"/>
        <v>2</v>
      </c>
      <c r="X26" s="14">
        <f t="shared" si="7"/>
        <v>1</v>
      </c>
      <c r="Y26" s="14">
        <f t="shared" si="7"/>
        <v>12</v>
      </c>
      <c r="Z26" s="14">
        <f t="shared" si="7"/>
        <v>19</v>
      </c>
      <c r="AA26" s="14">
        <f t="shared" si="7"/>
        <v>2</v>
      </c>
      <c r="AB26" s="14">
        <f t="shared" si="7"/>
        <v>0</v>
      </c>
      <c r="AC26" s="14">
        <f t="shared" si="7"/>
        <v>2</v>
      </c>
      <c r="AD26" s="14">
        <f t="shared" si="7"/>
        <v>13</v>
      </c>
      <c r="AE26" s="14">
        <f t="shared" si="7"/>
        <v>19</v>
      </c>
      <c r="AF26" s="14">
        <f t="shared" si="7"/>
        <v>13</v>
      </c>
      <c r="AG26" s="14">
        <f t="shared" si="7"/>
        <v>19</v>
      </c>
      <c r="AH26" s="14">
        <f t="shared" si="7"/>
        <v>0</v>
      </c>
      <c r="AI26" s="14">
        <f t="shared" si="7"/>
        <v>0</v>
      </c>
      <c r="AJ26" s="14">
        <f t="shared" si="7"/>
        <v>2</v>
      </c>
      <c r="AK26" s="14">
        <f t="shared" si="7"/>
        <v>0</v>
      </c>
      <c r="AL26" s="666" t="s">
        <v>619</v>
      </c>
      <c r="AM26" s="667"/>
      <c r="AN26" s="667"/>
      <c r="AO26" s="668"/>
      <c r="AP26" s="10"/>
    </row>
    <row r="27" spans="1:83" ht="22.5" customHeight="1" thickBot="1">
      <c r="A27" s="669"/>
      <c r="B27" s="670" t="s">
        <v>5</v>
      </c>
      <c r="C27" s="671"/>
      <c r="D27" s="671"/>
      <c r="E27" s="672"/>
      <c r="F27" s="3" t="s">
        <v>0</v>
      </c>
      <c r="G27" s="14">
        <f t="shared" ref="G27:L27" si="8">COUNTIF(G6:G24,"▲")</f>
        <v>0</v>
      </c>
      <c r="H27" s="14">
        <f t="shared" si="8"/>
        <v>1</v>
      </c>
      <c r="I27" s="14">
        <f t="shared" si="8"/>
        <v>2</v>
      </c>
      <c r="J27" s="14">
        <f t="shared" si="8"/>
        <v>1</v>
      </c>
      <c r="K27" s="14">
        <f t="shared" si="8"/>
        <v>0</v>
      </c>
      <c r="L27" s="14">
        <f t="shared" si="8"/>
        <v>0</v>
      </c>
      <c r="M27" s="345" t="s">
        <v>65</v>
      </c>
      <c r="N27" s="14">
        <f t="shared" ref="N27:U27" si="9">COUNTIF(N6:N24,"▲")</f>
        <v>1</v>
      </c>
      <c r="O27" s="14">
        <f t="shared" si="9"/>
        <v>2</v>
      </c>
      <c r="P27" s="14">
        <f t="shared" si="9"/>
        <v>2</v>
      </c>
      <c r="Q27" s="14">
        <f t="shared" si="9"/>
        <v>0</v>
      </c>
      <c r="R27" s="14">
        <f t="shared" si="9"/>
        <v>0</v>
      </c>
      <c r="S27" s="14">
        <f t="shared" si="9"/>
        <v>0</v>
      </c>
      <c r="T27" s="14">
        <f t="shared" si="9"/>
        <v>0</v>
      </c>
      <c r="U27" s="14">
        <f t="shared" si="9"/>
        <v>1</v>
      </c>
      <c r="V27" s="14">
        <v>2.5</v>
      </c>
      <c r="W27" s="345">
        <v>0</v>
      </c>
      <c r="X27" s="14">
        <v>2.5</v>
      </c>
      <c r="Y27" s="14">
        <f t="shared" ref="Y27:AK27" si="10">COUNTIF(Y6:Y24,"▲")</f>
        <v>1</v>
      </c>
      <c r="Z27" s="14">
        <f t="shared" si="10"/>
        <v>0</v>
      </c>
      <c r="AA27" s="14">
        <f t="shared" si="10"/>
        <v>1</v>
      </c>
      <c r="AB27" s="14">
        <f t="shared" si="10"/>
        <v>2</v>
      </c>
      <c r="AC27" s="14">
        <f t="shared" si="10"/>
        <v>0</v>
      </c>
      <c r="AD27" s="14">
        <f t="shared" si="10"/>
        <v>0</v>
      </c>
      <c r="AE27" s="14">
        <f t="shared" si="10"/>
        <v>0</v>
      </c>
      <c r="AF27" s="14">
        <f t="shared" si="10"/>
        <v>0</v>
      </c>
      <c r="AG27" s="14">
        <f t="shared" si="10"/>
        <v>0</v>
      </c>
      <c r="AH27" s="14">
        <f t="shared" si="10"/>
        <v>1</v>
      </c>
      <c r="AI27" s="14">
        <f t="shared" si="10"/>
        <v>2</v>
      </c>
      <c r="AJ27" s="14">
        <f t="shared" si="10"/>
        <v>1</v>
      </c>
      <c r="AK27" s="14">
        <f t="shared" si="10"/>
        <v>0</v>
      </c>
      <c r="AL27" s="52" t="s">
        <v>19</v>
      </c>
      <c r="AM27" s="649" t="s">
        <v>17</v>
      </c>
      <c r="AN27" s="650"/>
      <c r="AO27" s="651"/>
      <c r="AP27" s="10"/>
    </row>
    <row r="28" spans="1:83" ht="22.5" customHeight="1" thickTop="1" thickBot="1">
      <c r="A28" s="669"/>
      <c r="B28" s="654"/>
      <c r="C28" s="654"/>
      <c r="D28" s="654"/>
      <c r="E28" s="654"/>
      <c r="F28" s="654"/>
      <c r="G28" s="286"/>
      <c r="H28" s="651" t="s">
        <v>93</v>
      </c>
      <c r="I28" s="655"/>
      <c r="J28" s="655"/>
      <c r="K28" s="3" t="s">
        <v>0</v>
      </c>
      <c r="L28" s="649" t="s">
        <v>5</v>
      </c>
      <c r="M28" s="651"/>
      <c r="N28" s="5" t="s">
        <v>68</v>
      </c>
      <c r="O28" s="656" t="s">
        <v>177</v>
      </c>
      <c r="P28" s="657"/>
      <c r="Q28" s="658"/>
      <c r="R28" s="5" t="s">
        <v>91</v>
      </c>
      <c r="S28" s="656" t="s">
        <v>179</v>
      </c>
      <c r="T28" s="657"/>
      <c r="U28" s="658"/>
      <c r="V28" s="6" t="s">
        <v>56</v>
      </c>
      <c r="W28" s="644" t="s">
        <v>178</v>
      </c>
      <c r="X28" s="645"/>
      <c r="Y28" s="645"/>
      <c r="Z28" s="6" t="s">
        <v>83</v>
      </c>
      <c r="AA28" s="644" t="s">
        <v>180</v>
      </c>
      <c r="AB28" s="645"/>
      <c r="AC28" s="645"/>
      <c r="AD28" s="152" t="s">
        <v>1</v>
      </c>
      <c r="AE28" s="646" t="s">
        <v>175</v>
      </c>
      <c r="AF28" s="647"/>
      <c r="AG28" s="648"/>
      <c r="AH28" s="513" t="s">
        <v>1</v>
      </c>
      <c r="AI28" s="649" t="s">
        <v>4</v>
      </c>
      <c r="AJ28" s="650"/>
      <c r="AK28" s="651"/>
      <c r="AL28" s="13" t="s">
        <v>20</v>
      </c>
      <c r="AM28" s="649" t="s">
        <v>18</v>
      </c>
      <c r="AN28" s="650"/>
      <c r="AO28" s="651"/>
      <c r="AP28" s="10"/>
    </row>
    <row r="29" spans="1:83" customFormat="1" ht="19" thickTop="1">
      <c r="B29" s="8"/>
      <c r="C29" s="652"/>
      <c r="D29" s="652"/>
      <c r="E29" s="653"/>
      <c r="F29" s="653"/>
      <c r="G29" s="156"/>
      <c r="H29" s="158"/>
      <c r="I29" s="157"/>
      <c r="J29" s="158"/>
      <c r="K29" s="158"/>
      <c r="L29" s="158"/>
      <c r="M29" s="158"/>
      <c r="N29" s="203"/>
      <c r="O29" s="158"/>
      <c r="P29" s="158"/>
      <c r="Q29" s="203"/>
      <c r="R29" s="157"/>
      <c r="S29" s="157"/>
      <c r="T29" s="158"/>
      <c r="U29" s="158"/>
      <c r="V29" s="158"/>
      <c r="W29" s="158"/>
      <c r="X29" s="157"/>
      <c r="Y29" s="157"/>
      <c r="Z29" s="157"/>
      <c r="AA29" s="158"/>
      <c r="AB29" s="203"/>
      <c r="AC29" s="158"/>
      <c r="AD29" s="158"/>
      <c r="AE29" s="203"/>
      <c r="AF29" s="157"/>
      <c r="AG29" s="158"/>
      <c r="AH29" s="158"/>
      <c r="AI29" s="157"/>
      <c r="AJ29" s="158"/>
      <c r="AK29" s="158"/>
      <c r="AN29" s="9"/>
      <c r="AO29" s="11"/>
    </row>
    <row r="30" spans="1:83" s="11" customFormat="1" ht="18">
      <c r="A30" s="1"/>
      <c r="B30" s="652"/>
      <c r="C30" s="652"/>
      <c r="D30" s="652"/>
      <c r="E30" s="652"/>
      <c r="F30" s="653"/>
      <c r="G30" s="653"/>
      <c r="H30" s="156"/>
      <c r="I30" s="158"/>
      <c r="J30" s="157"/>
      <c r="K30" s="158"/>
      <c r="L30" s="158"/>
      <c r="M30" s="157"/>
      <c r="N30" s="157"/>
      <c r="O30" s="203"/>
      <c r="P30" s="158"/>
      <c r="Q30" s="157"/>
      <c r="R30" s="157"/>
      <c r="S30" s="158"/>
      <c r="T30" s="158"/>
      <c r="U30" s="218"/>
      <c r="V30" s="158"/>
      <c r="W30" s="158"/>
      <c r="X30" s="158"/>
      <c r="Y30" s="158"/>
      <c r="Z30" s="156"/>
      <c r="AA30" s="158"/>
      <c r="AB30" s="158"/>
      <c r="AC30" s="158"/>
      <c r="AD30" s="158"/>
      <c r="AE30" s="157"/>
      <c r="AF30" s="158"/>
      <c r="AG30" s="156"/>
      <c r="AH30" s="158"/>
      <c r="AI30" s="158"/>
      <c r="AJ30" s="158"/>
      <c r="AK30" s="158"/>
      <c r="AL30" s="156"/>
      <c r="AM30" s="160"/>
      <c r="AN30" s="160"/>
      <c r="AP30" s="12"/>
      <c r="AQ30" s="1"/>
      <c r="AR30" s="1"/>
      <c r="AS30" s="1"/>
      <c r="AT30" s="1"/>
    </row>
    <row r="31" spans="1:83" s="11" customFormat="1">
      <c r="A31" s="1"/>
      <c r="B31" s="1"/>
      <c r="C31" s="1"/>
      <c r="D31" s="1"/>
      <c r="E31" s="1"/>
      <c r="F31" s="1"/>
      <c r="G31"/>
      <c r="H31" s="1"/>
      <c r="I31" s="1"/>
      <c r="J31" s="8"/>
      <c r="K31" s="8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7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9"/>
      <c r="AP31" s="12"/>
      <c r="AQ31" s="1"/>
      <c r="AR31" s="1"/>
      <c r="AS31" s="1"/>
      <c r="AT31" s="1"/>
    </row>
    <row r="32" spans="1:83" s="11" customFormat="1" ht="18">
      <c r="A32" s="1"/>
      <c r="B32" s="1"/>
      <c r="C32" s="1"/>
      <c r="D32" s="1"/>
      <c r="E32" s="1"/>
      <c r="F32" s="1"/>
      <c r="G32" s="17"/>
      <c r="H32" s="17"/>
      <c r="I32" s="17"/>
      <c r="J32" s="17"/>
      <c r="K32" s="15"/>
      <c r="L32" s="17"/>
      <c r="M32" s="17"/>
      <c r="N32" s="17"/>
      <c r="O32" s="17"/>
      <c r="P32" s="17"/>
      <c r="Q32" s="17"/>
      <c r="R32" s="15"/>
      <c r="S32" s="17"/>
      <c r="T32" s="16"/>
      <c r="U32" s="16"/>
      <c r="V32" s="16"/>
      <c r="W32" s="16"/>
      <c r="X32" s="16"/>
      <c r="Y32" s="15"/>
      <c r="Z32" s="16"/>
      <c r="AA32" s="16"/>
      <c r="AB32" s="16"/>
      <c r="AC32" s="16"/>
      <c r="AD32" s="16"/>
      <c r="AE32" s="16"/>
      <c r="AF32" s="15" t="s">
        <v>41</v>
      </c>
      <c r="AG32" s="16"/>
      <c r="AH32" s="16"/>
      <c r="AI32" s="16"/>
      <c r="AJ32" s="16"/>
      <c r="AK32" s="16"/>
      <c r="AL32" s="1"/>
      <c r="AM32" s="1"/>
      <c r="AN32" s="9"/>
      <c r="AP32" s="12"/>
      <c r="AQ32" s="1"/>
      <c r="AR32" s="1"/>
      <c r="AS32" s="1"/>
      <c r="AT32" s="1"/>
    </row>
    <row r="33" spans="1:46" s="11" customFormat="1">
      <c r="A33" s="1"/>
      <c r="B33" s="1"/>
      <c r="C33" s="1"/>
      <c r="D33" s="1"/>
      <c r="E33" s="1"/>
      <c r="F33" s="1"/>
      <c r="G33"/>
      <c r="H33" s="1"/>
      <c r="I33" s="1"/>
      <c r="J33" s="8"/>
      <c r="K33" s="8"/>
      <c r="L33" s="1"/>
      <c r="M33" t="s">
        <v>27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7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9"/>
      <c r="AP33" s="12"/>
      <c r="AQ33" s="1"/>
      <c r="AR33" s="1"/>
      <c r="AS33" s="1"/>
      <c r="AT33" s="1"/>
    </row>
    <row r="34" spans="1:46" s="11" customFormat="1">
      <c r="A34" s="1"/>
      <c r="B34" s="1"/>
      <c r="C34" s="1"/>
      <c r="D34" s="1"/>
      <c r="E34" s="1"/>
      <c r="F34" s="1"/>
      <c r="G34"/>
      <c r="H34" s="1"/>
      <c r="I34" s="1"/>
      <c r="J34" s="8"/>
      <c r="K34" s="8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7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9"/>
      <c r="AP34" s="12"/>
      <c r="AQ34" s="1"/>
      <c r="AR34" s="1"/>
      <c r="AS34" s="1"/>
      <c r="AT34" s="1"/>
    </row>
    <row r="35" spans="1:46" s="11" customFormat="1">
      <c r="A35" s="1"/>
      <c r="B35" s="1"/>
      <c r="C35" s="1"/>
      <c r="D35" s="1"/>
      <c r="E35" s="1"/>
      <c r="F35" s="1"/>
      <c r="G35"/>
      <c r="H35" s="1"/>
      <c r="I35" s="1"/>
      <c r="J35" s="8"/>
      <c r="K35" s="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7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9"/>
      <c r="AP35" s="12"/>
      <c r="AQ35" s="1"/>
      <c r="AR35" s="1"/>
      <c r="AS35" s="1"/>
      <c r="AT35" s="1"/>
    </row>
    <row r="36" spans="1:46" s="11" customFormat="1">
      <c r="A36" s="1"/>
      <c r="B36" s="1"/>
      <c r="C36" s="1"/>
      <c r="D36" s="1"/>
      <c r="E36" s="1"/>
      <c r="F36" s="1"/>
      <c r="G36"/>
      <c r="H36" s="1"/>
      <c r="I36" s="1"/>
      <c r="J36" s="8"/>
      <c r="K36" s="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7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9"/>
      <c r="AP36" s="12"/>
      <c r="AQ36" s="1"/>
      <c r="AR36" s="1"/>
      <c r="AS36" s="1"/>
      <c r="AT36" s="1"/>
    </row>
    <row r="37" spans="1:46" s="11" customFormat="1">
      <c r="A37" s="1"/>
      <c r="B37" s="1"/>
      <c r="C37" s="1"/>
      <c r="D37" s="1"/>
      <c r="E37" s="1"/>
      <c r="F37" s="1"/>
      <c r="G37"/>
      <c r="H37" s="1"/>
      <c r="I37" s="1"/>
      <c r="J37" s="8"/>
      <c r="K37" s="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7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9"/>
      <c r="AP37" s="12"/>
      <c r="AQ37" s="1"/>
      <c r="AR37" s="1"/>
      <c r="AS37" s="1"/>
      <c r="AT37" s="1"/>
    </row>
    <row r="38" spans="1:46" s="11" customFormat="1">
      <c r="A38" s="1"/>
      <c r="B38" s="1"/>
      <c r="C38" s="1"/>
      <c r="D38" s="1"/>
      <c r="E38" s="1"/>
      <c r="F38" s="1"/>
      <c r="G38"/>
      <c r="H38" s="1"/>
      <c r="I38" s="1"/>
      <c r="J38" s="8"/>
      <c r="K38" s="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7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9"/>
      <c r="AP38" s="12"/>
      <c r="AQ38" s="1"/>
      <c r="AR38" s="1"/>
      <c r="AS38" s="1"/>
      <c r="AT38" s="1"/>
    </row>
    <row r="39" spans="1:46" s="11" customFormat="1">
      <c r="A39" s="1"/>
      <c r="B39" s="1"/>
      <c r="C39" s="1"/>
      <c r="D39" s="1"/>
      <c r="E39" s="1"/>
      <c r="F39" s="1"/>
      <c r="G39"/>
      <c r="H39" s="1"/>
      <c r="I39" s="1"/>
      <c r="J39" s="8"/>
      <c r="K39" s="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7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9"/>
      <c r="AP39" s="12"/>
      <c r="AQ39" s="1"/>
      <c r="AR39" s="1"/>
      <c r="AS39" s="1"/>
      <c r="AT39" s="1"/>
    </row>
    <row r="40" spans="1:46" s="11" customFormat="1">
      <c r="A40" s="1"/>
      <c r="B40" s="1"/>
      <c r="C40" s="1"/>
      <c r="D40" s="1"/>
      <c r="E40" s="1"/>
      <c r="F40" s="1"/>
      <c r="G40"/>
      <c r="H40" s="1"/>
      <c r="I40" s="1"/>
      <c r="J40" s="8"/>
      <c r="K40" s="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7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9"/>
      <c r="AP40" s="12"/>
      <c r="AQ40" s="1"/>
      <c r="AR40" s="1"/>
      <c r="AS40" s="1"/>
      <c r="AT40" s="1"/>
    </row>
    <row r="41" spans="1:46" s="11" customFormat="1">
      <c r="A41" s="1"/>
      <c r="B41" s="1"/>
      <c r="C41" s="1"/>
      <c r="D41" s="1"/>
      <c r="E41" s="1"/>
      <c r="F41" s="1"/>
      <c r="G41"/>
      <c r="H41" s="1"/>
      <c r="I41" s="1"/>
      <c r="J41" s="8"/>
      <c r="K41" s="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7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9"/>
      <c r="AP41" s="12"/>
      <c r="AQ41" s="1"/>
      <c r="AR41" s="1"/>
      <c r="AS41" s="1"/>
      <c r="AT41" s="1"/>
    </row>
    <row r="42" spans="1:46" s="11" customFormat="1">
      <c r="A42" s="1"/>
      <c r="B42" s="1"/>
      <c r="C42" s="1"/>
      <c r="D42" s="1"/>
      <c r="E42" s="1"/>
      <c r="F42" s="1"/>
      <c r="G42"/>
      <c r="H42" s="1"/>
      <c r="I42" s="1"/>
      <c r="J42" s="8"/>
      <c r="K42" s="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7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9"/>
      <c r="AP42" s="12"/>
      <c r="AQ42" s="1"/>
      <c r="AR42" s="1"/>
      <c r="AS42" s="1"/>
      <c r="AT42" s="1"/>
    </row>
    <row r="43" spans="1:46" s="11" customFormat="1">
      <c r="A43" s="1"/>
      <c r="B43" s="1"/>
      <c r="C43" s="1"/>
      <c r="D43" s="1"/>
      <c r="E43" s="1"/>
      <c r="F43" s="1"/>
      <c r="G43"/>
      <c r="H43" s="1"/>
      <c r="I43" s="1"/>
      <c r="J43" s="8"/>
      <c r="K43" s="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7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9"/>
      <c r="AP43" s="12"/>
      <c r="AQ43" s="1"/>
      <c r="AR43" s="1"/>
      <c r="AS43" s="1"/>
      <c r="AT43" s="1"/>
    </row>
    <row r="44" spans="1:46" s="11" customFormat="1">
      <c r="A44" s="1"/>
      <c r="B44" s="1"/>
      <c r="C44" s="1"/>
      <c r="D44" s="1"/>
      <c r="E44" s="1"/>
      <c r="F44" s="1"/>
      <c r="G44"/>
      <c r="H44" s="1"/>
      <c r="I44" s="1"/>
      <c r="J44" s="8"/>
      <c r="K44" s="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7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9"/>
      <c r="AP44" s="12"/>
      <c r="AQ44" s="1"/>
      <c r="AR44" s="1"/>
      <c r="AS44" s="1"/>
      <c r="AT44" s="1"/>
    </row>
    <row r="45" spans="1:46" s="11" customFormat="1">
      <c r="A45" s="1"/>
      <c r="B45" s="1"/>
      <c r="C45" s="1"/>
      <c r="D45" s="1"/>
      <c r="E45" s="1"/>
      <c r="F45" s="1"/>
      <c r="G45"/>
      <c r="H45" s="1"/>
      <c r="I45" s="1"/>
      <c r="J45" s="8"/>
      <c r="K45" s="8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7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9"/>
      <c r="AP45" s="12"/>
      <c r="AQ45" s="1"/>
      <c r="AR45" s="1"/>
      <c r="AS45" s="1"/>
      <c r="AT45" s="1"/>
    </row>
    <row r="46" spans="1:46">
      <c r="Y46" s="1"/>
      <c r="AD46" s="1"/>
    </row>
    <row r="47" spans="1:46" ht="40">
      <c r="R47" s="125"/>
      <c r="Y47" s="1"/>
      <c r="AD47" s="1"/>
    </row>
    <row r="48" spans="1:46"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J60" s="543">
        <v>0.69791666666666663</v>
      </c>
      <c r="Y60" s="1"/>
      <c r="AD60" s="1"/>
    </row>
    <row r="61" spans="10:30"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F111" s="527">
        <v>0.36249999999999999</v>
      </c>
      <c r="Y111" s="1"/>
      <c r="AD111" s="1"/>
    </row>
    <row r="112" spans="6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4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E22:F22"/>
    <mergeCell ref="C23:D23"/>
    <mergeCell ref="E23:F23"/>
    <mergeCell ref="AS23:AT23"/>
    <mergeCell ref="C24:D24"/>
    <mergeCell ref="E24:F24"/>
    <mergeCell ref="AR24:AS24"/>
    <mergeCell ref="AT24:AU24"/>
    <mergeCell ref="AU23:AV23"/>
    <mergeCell ref="C22:D22"/>
    <mergeCell ref="A25:A26"/>
    <mergeCell ref="B25:E25"/>
    <mergeCell ref="B26:E26"/>
    <mergeCell ref="AL26:AO26"/>
    <mergeCell ref="AM27:AO27"/>
    <mergeCell ref="A27:A28"/>
    <mergeCell ref="B27:E27"/>
    <mergeCell ref="AA28:AC28"/>
    <mergeCell ref="AE28:AG28"/>
    <mergeCell ref="AI28:AK28"/>
    <mergeCell ref="AM28:AO28"/>
    <mergeCell ref="B30:C30"/>
    <mergeCell ref="D30:E30"/>
    <mergeCell ref="F30:G30"/>
    <mergeCell ref="B28:F28"/>
    <mergeCell ref="H28:J28"/>
    <mergeCell ref="L28:M28"/>
    <mergeCell ref="O28:Q28"/>
    <mergeCell ref="S28:U28"/>
    <mergeCell ref="C29:D29"/>
    <mergeCell ref="E29:F29"/>
    <mergeCell ref="W28:Y28"/>
  </mergeCells>
  <phoneticPr fontId="2" type="noConversion"/>
  <conditionalFormatting sqref="AL6:AL25 BZ16:BZ17">
    <cfRule type="cellIs" dxfId="21" priority="9" operator="equal">
      <formula>8</formula>
    </cfRule>
    <cfRule type="cellIs" dxfId="20" priority="10" operator="equal">
      <formula>0</formula>
    </cfRule>
  </conditionalFormatting>
  <conditionalFormatting sqref="BZ19:BZ20">
    <cfRule type="cellIs" dxfId="19" priority="5" operator="equal">
      <formula>8</formula>
    </cfRule>
    <cfRule type="cellIs" dxfId="18" priority="6" operator="equal">
      <formula>0</formula>
    </cfRule>
  </conditionalFormatting>
  <conditionalFormatting sqref="CA18">
    <cfRule type="cellIs" dxfId="17" priority="1" operator="equal">
      <formula>8</formula>
    </cfRule>
    <cfRule type="cellIs" dxfId="16" priority="2" operator="equal">
      <formula>0</formula>
    </cfRule>
  </conditionalFormatting>
  <conditionalFormatting sqref="CA24">
    <cfRule type="cellIs" dxfId="15" priority="3" operator="equal">
      <formula>8</formula>
    </cfRule>
    <cfRule type="cellIs" dxfId="14" priority="4" operator="equal">
      <formula>0</formula>
    </cfRule>
  </conditionalFormatting>
  <conditionalFormatting sqref="CB23">
    <cfRule type="cellIs" dxfId="13" priority="7" operator="equal">
      <formula>8</formula>
    </cfRule>
    <cfRule type="cellIs" dxfId="12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0423-8A75-4B4E-91F4-F4DBBBDC670E}">
  <sheetPr>
    <tabColor rgb="FF00B0F0"/>
  </sheetPr>
  <dimension ref="A1:CE3402"/>
  <sheetViews>
    <sheetView showGridLines="0" tabSelected="1" zoomScale="93" zoomScaleNormal="93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B1" sqref="B1:AO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1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8" customWidth="1"/>
    <col min="12" max="14" width="3.6640625" style="1" customWidth="1"/>
    <col min="15" max="15" width="3.6640625" style="573" customWidth="1"/>
    <col min="16" max="24" width="3.6640625" style="1" customWidth="1"/>
    <col min="25" max="25" width="3.6640625" style="38" customWidth="1"/>
    <col min="26" max="28" width="3.6640625" style="1" customWidth="1"/>
    <col min="29" max="29" width="3.6640625" style="7" customWidth="1"/>
    <col min="30" max="30" width="3.6640625" style="41" customWidth="1"/>
    <col min="31" max="37" width="3.6640625" style="1" customWidth="1"/>
    <col min="38" max="39" width="4.6640625" style="1" customWidth="1"/>
    <col min="40" max="40" width="4.6640625" style="9" customWidth="1"/>
    <col min="41" max="41" width="5" style="11" customWidth="1"/>
    <col min="42" max="42" width="9" style="12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18"/>
      <c r="B1" s="729" t="s">
        <v>642</v>
      </c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  <c r="AA1" s="729"/>
      <c r="AB1" s="729"/>
      <c r="AC1" s="729"/>
      <c r="AD1" s="729"/>
      <c r="AE1" s="729"/>
      <c r="AF1" s="729"/>
      <c r="AG1" s="729"/>
      <c r="AH1" s="729"/>
      <c r="AI1" s="729"/>
      <c r="AJ1" s="729"/>
      <c r="AK1" s="729"/>
      <c r="AL1" s="729"/>
      <c r="AM1" s="729"/>
      <c r="AN1" s="729"/>
      <c r="AO1" s="729"/>
    </row>
    <row r="2" spans="1:81" ht="22.5" customHeight="1">
      <c r="A2" s="18"/>
      <c r="B2" s="729"/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29"/>
      <c r="V2" s="729"/>
      <c r="W2" s="729"/>
      <c r="X2" s="729"/>
      <c r="Y2" s="729"/>
      <c r="Z2" s="729"/>
      <c r="AA2" s="729"/>
      <c r="AB2" s="729"/>
      <c r="AC2" s="729"/>
      <c r="AD2" s="729"/>
      <c r="AE2" s="729"/>
      <c r="AF2" s="729"/>
      <c r="AG2" s="729"/>
      <c r="AH2" s="729"/>
      <c r="AI2" s="729"/>
      <c r="AJ2" s="729"/>
      <c r="AK2" s="729"/>
      <c r="AL2" s="729"/>
      <c r="AM2" s="729"/>
      <c r="AN2" s="729"/>
      <c r="AO2" s="729"/>
    </row>
    <row r="3" spans="1:81" ht="11.25" customHeight="1">
      <c r="A3" s="18"/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730"/>
      <c r="O3" s="730"/>
      <c r="P3" s="730"/>
      <c r="Q3" s="730"/>
      <c r="R3" s="730"/>
      <c r="S3" s="730"/>
      <c r="T3" s="730"/>
      <c r="U3" s="730"/>
      <c r="V3" s="730"/>
      <c r="W3" s="730"/>
      <c r="X3" s="730"/>
      <c r="Y3" s="730"/>
      <c r="Z3" s="730"/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</row>
    <row r="4" spans="1:81" ht="25" customHeight="1">
      <c r="B4" s="731"/>
      <c r="C4" s="733" t="s">
        <v>6</v>
      </c>
      <c r="D4" s="734"/>
      <c r="E4" s="734"/>
      <c r="F4" s="735"/>
      <c r="G4" s="310">
        <v>1</v>
      </c>
      <c r="H4" s="37">
        <v>2</v>
      </c>
      <c r="I4" s="37">
        <v>3</v>
      </c>
      <c r="J4" s="51">
        <v>4</v>
      </c>
      <c r="K4" s="37">
        <v>5</v>
      </c>
      <c r="L4" s="37">
        <v>6</v>
      </c>
      <c r="M4" s="37">
        <v>7</v>
      </c>
      <c r="N4" s="37">
        <v>8</v>
      </c>
      <c r="O4" s="37">
        <v>9</v>
      </c>
      <c r="P4" s="37">
        <v>10</v>
      </c>
      <c r="Q4" s="51">
        <v>11</v>
      </c>
      <c r="R4" s="37">
        <v>12</v>
      </c>
      <c r="S4" s="37">
        <v>13</v>
      </c>
      <c r="T4" s="37">
        <v>14</v>
      </c>
      <c r="U4" s="37">
        <v>15</v>
      </c>
      <c r="V4" s="37">
        <v>16</v>
      </c>
      <c r="W4" s="37">
        <v>17</v>
      </c>
      <c r="X4" s="51">
        <v>18</v>
      </c>
      <c r="Y4" s="37">
        <v>19</v>
      </c>
      <c r="Z4" s="37">
        <v>20</v>
      </c>
      <c r="AA4" s="37">
        <v>21</v>
      </c>
      <c r="AB4" s="37">
        <v>22</v>
      </c>
      <c r="AC4" s="37">
        <v>23</v>
      </c>
      <c r="AD4" s="37">
        <v>24</v>
      </c>
      <c r="AE4" s="51">
        <v>25</v>
      </c>
      <c r="AF4" s="37">
        <v>26</v>
      </c>
      <c r="AG4" s="37">
        <v>27</v>
      </c>
      <c r="AH4" s="37">
        <v>28</v>
      </c>
      <c r="AI4" s="37">
        <v>29</v>
      </c>
      <c r="AJ4" s="37">
        <v>30</v>
      </c>
      <c r="AK4" s="309">
        <v>31</v>
      </c>
      <c r="AL4" s="736" t="s">
        <v>35</v>
      </c>
      <c r="AM4" s="737"/>
      <c r="AN4" s="737"/>
      <c r="AO4" s="738"/>
      <c r="AP4" s="10"/>
    </row>
    <row r="5" spans="1:81" ht="25" customHeight="1">
      <c r="B5" s="844"/>
      <c r="C5" s="845" t="s">
        <v>7</v>
      </c>
      <c r="D5" s="846"/>
      <c r="E5" s="847" t="s">
        <v>8</v>
      </c>
      <c r="F5" s="848"/>
      <c r="G5" s="184" t="s">
        <v>63</v>
      </c>
      <c r="H5" s="185" t="s">
        <v>11</v>
      </c>
      <c r="I5" s="185" t="s">
        <v>12</v>
      </c>
      <c r="J5" s="188" t="s">
        <v>13</v>
      </c>
      <c r="K5" s="643" t="s">
        <v>14</v>
      </c>
      <c r="L5" s="185" t="s">
        <v>15</v>
      </c>
      <c r="M5" s="185" t="s">
        <v>9</v>
      </c>
      <c r="N5" s="185" t="s">
        <v>10</v>
      </c>
      <c r="O5" s="643" t="s">
        <v>11</v>
      </c>
      <c r="P5" s="185" t="s">
        <v>12</v>
      </c>
      <c r="Q5" s="188" t="s">
        <v>13</v>
      </c>
      <c r="R5" s="185" t="s">
        <v>14</v>
      </c>
      <c r="S5" s="185" t="s">
        <v>15</v>
      </c>
      <c r="T5" s="185" t="s">
        <v>9</v>
      </c>
      <c r="U5" s="185" t="s">
        <v>10</v>
      </c>
      <c r="V5" s="185" t="s">
        <v>11</v>
      </c>
      <c r="W5" s="185" t="s">
        <v>12</v>
      </c>
      <c r="X5" s="188" t="s">
        <v>13</v>
      </c>
      <c r="Y5" s="185" t="s">
        <v>14</v>
      </c>
      <c r="Z5" s="185" t="s">
        <v>15</v>
      </c>
      <c r="AA5" s="185" t="s">
        <v>9</v>
      </c>
      <c r="AB5" s="185" t="s">
        <v>10</v>
      </c>
      <c r="AC5" s="185" t="s">
        <v>11</v>
      </c>
      <c r="AD5" s="185" t="s">
        <v>12</v>
      </c>
      <c r="AE5" s="188" t="s">
        <v>13</v>
      </c>
      <c r="AF5" s="185" t="s">
        <v>14</v>
      </c>
      <c r="AG5" s="185" t="s">
        <v>15</v>
      </c>
      <c r="AH5" s="185" t="s">
        <v>9</v>
      </c>
      <c r="AI5" s="185" t="s">
        <v>10</v>
      </c>
      <c r="AJ5" s="185" t="s">
        <v>11</v>
      </c>
      <c r="AK5" s="185" t="s">
        <v>67</v>
      </c>
      <c r="AL5" s="642" t="s">
        <v>0</v>
      </c>
      <c r="AM5" s="553" t="s">
        <v>2</v>
      </c>
      <c r="AN5" s="253" t="s">
        <v>1</v>
      </c>
      <c r="AO5" s="36" t="s">
        <v>16</v>
      </c>
      <c r="AP5" s="10"/>
    </row>
    <row r="6" spans="1:81" ht="22" customHeight="1">
      <c r="B6" s="353">
        <v>1</v>
      </c>
      <c r="C6" s="836" t="s">
        <v>191</v>
      </c>
      <c r="D6" s="837"/>
      <c r="E6" s="838" t="s">
        <v>34</v>
      </c>
      <c r="F6" s="721"/>
      <c r="G6" s="641" t="s">
        <v>2</v>
      </c>
      <c r="H6" s="640" t="s">
        <v>2</v>
      </c>
      <c r="I6" s="48" t="s">
        <v>1</v>
      </c>
      <c r="J6" s="39" t="s">
        <v>1</v>
      </c>
      <c r="K6" s="48" t="s">
        <v>1</v>
      </c>
      <c r="L6" s="640" t="s">
        <v>2</v>
      </c>
      <c r="M6" s="640" t="s">
        <v>2</v>
      </c>
      <c r="N6" s="640" t="s">
        <v>2</v>
      </c>
      <c r="O6" s="264" t="s">
        <v>1</v>
      </c>
      <c r="P6" s="48" t="s">
        <v>1</v>
      </c>
      <c r="Q6" s="39" t="s">
        <v>1</v>
      </c>
      <c r="R6" s="640" t="s">
        <v>2</v>
      </c>
      <c r="S6" s="640" t="s">
        <v>2</v>
      </c>
      <c r="T6" s="640" t="s">
        <v>2</v>
      </c>
      <c r="U6" s="640" t="s">
        <v>2</v>
      </c>
      <c r="V6" s="640" t="s">
        <v>2</v>
      </c>
      <c r="W6" s="48" t="s">
        <v>1</v>
      </c>
      <c r="X6" s="39" t="s">
        <v>1</v>
      </c>
      <c r="Y6" s="640" t="s">
        <v>2</v>
      </c>
      <c r="Z6" s="640" t="s">
        <v>2</v>
      </c>
      <c r="AA6" s="640" t="s">
        <v>2</v>
      </c>
      <c r="AB6" s="640" t="s">
        <v>2</v>
      </c>
      <c r="AC6" s="640" t="s">
        <v>2</v>
      </c>
      <c r="AD6" s="48" t="s">
        <v>1</v>
      </c>
      <c r="AE6" s="39" t="s">
        <v>1</v>
      </c>
      <c r="AF6" s="640" t="s">
        <v>2</v>
      </c>
      <c r="AG6" s="640" t="s">
        <v>2</v>
      </c>
      <c r="AH6" s="640" t="s">
        <v>2</v>
      </c>
      <c r="AI6" s="640" t="s">
        <v>2</v>
      </c>
      <c r="AJ6" s="640" t="s">
        <v>2</v>
      </c>
      <c r="AK6" s="48" t="s">
        <v>1</v>
      </c>
      <c r="AL6" s="638">
        <f>COUNTIF(G6:AK6,"▲")</f>
        <v>0</v>
      </c>
      <c r="AM6" s="21">
        <f>COUNTIF(G6:AK6,"D")</f>
        <v>20</v>
      </c>
      <c r="AN6" s="22">
        <f>COUNTIF(G6:AK6,"●")</f>
        <v>11</v>
      </c>
      <c r="AO6" s="27">
        <f>AN6+AL6</f>
        <v>11</v>
      </c>
      <c r="AP6" s="10"/>
    </row>
    <row r="7" spans="1:81" ht="21.75" customHeight="1">
      <c r="B7" s="54">
        <v>2</v>
      </c>
      <c r="C7" s="765" t="s">
        <v>22</v>
      </c>
      <c r="D7" s="839"/>
      <c r="E7" s="840" t="s">
        <v>641</v>
      </c>
      <c r="F7" s="841"/>
      <c r="G7" s="100" t="s">
        <v>2</v>
      </c>
      <c r="H7" s="93" t="s">
        <v>2</v>
      </c>
      <c r="I7" s="50" t="s">
        <v>1</v>
      </c>
      <c r="J7" s="43" t="s">
        <v>1</v>
      </c>
      <c r="K7" s="50" t="s">
        <v>1</v>
      </c>
      <c r="L7" s="93" t="s">
        <v>2</v>
      </c>
      <c r="M7" s="43" t="s">
        <v>2</v>
      </c>
      <c r="N7" s="93" t="s">
        <v>2</v>
      </c>
      <c r="O7" s="237" t="s">
        <v>1</v>
      </c>
      <c r="P7" s="50" t="s">
        <v>1</v>
      </c>
      <c r="Q7" s="43" t="s">
        <v>1</v>
      </c>
      <c r="R7" s="93" t="s">
        <v>2</v>
      </c>
      <c r="S7" s="93" t="s">
        <v>2</v>
      </c>
      <c r="T7" s="93" t="s">
        <v>2</v>
      </c>
      <c r="U7" s="93" t="s">
        <v>2</v>
      </c>
      <c r="V7" s="93" t="s">
        <v>2</v>
      </c>
      <c r="W7" s="50" t="s">
        <v>1</v>
      </c>
      <c r="X7" s="43" t="s">
        <v>1</v>
      </c>
      <c r="Y7" s="93" t="s">
        <v>2</v>
      </c>
      <c r="Z7" s="93" t="s">
        <v>2</v>
      </c>
      <c r="AA7" s="93" t="s">
        <v>2</v>
      </c>
      <c r="AB7" s="93" t="s">
        <v>2</v>
      </c>
      <c r="AC7" s="93" t="s">
        <v>2</v>
      </c>
      <c r="AD7" s="50" t="s">
        <v>1</v>
      </c>
      <c r="AE7" s="43" t="s">
        <v>1</v>
      </c>
      <c r="AF7" s="93" t="s">
        <v>2</v>
      </c>
      <c r="AG7" s="93" t="s">
        <v>2</v>
      </c>
      <c r="AH7" s="93" t="s">
        <v>2</v>
      </c>
      <c r="AI7" s="93" t="s">
        <v>2</v>
      </c>
      <c r="AJ7" s="93" t="s">
        <v>2</v>
      </c>
      <c r="AK7" s="50" t="s">
        <v>1</v>
      </c>
      <c r="AL7" s="594">
        <f>COUNTIF(G7:AK7,"▲")</f>
        <v>0</v>
      </c>
      <c r="AM7" s="21">
        <f>COUNTIF(G7:AK7,"D")</f>
        <v>20</v>
      </c>
      <c r="AN7" s="22">
        <f>COUNTIF(G7:AK7,"●")</f>
        <v>11</v>
      </c>
      <c r="AO7" s="27">
        <f>AN7+AL7</f>
        <v>11</v>
      </c>
      <c r="AP7" s="10"/>
      <c r="AQ7" t="s">
        <v>640</v>
      </c>
      <c r="AT7"/>
    </row>
    <row r="8" spans="1:81" ht="22" customHeight="1">
      <c r="B8" s="378">
        <v>3</v>
      </c>
      <c r="C8" s="842" t="s">
        <v>622</v>
      </c>
      <c r="D8" s="843"/>
      <c r="E8" s="819" t="s">
        <v>639</v>
      </c>
      <c r="F8" s="820"/>
      <c r="G8" s="73" t="s">
        <v>2</v>
      </c>
      <c r="H8" s="39" t="s">
        <v>2</v>
      </c>
      <c r="I8" s="639" t="s">
        <v>2</v>
      </c>
      <c r="J8" s="39" t="s">
        <v>1</v>
      </c>
      <c r="K8" s="639" t="s">
        <v>2</v>
      </c>
      <c r="L8" s="39" t="s">
        <v>2</v>
      </c>
      <c r="M8" s="48" t="s">
        <v>1</v>
      </c>
      <c r="N8" s="39" t="s">
        <v>2</v>
      </c>
      <c r="O8" s="639" t="s">
        <v>2</v>
      </c>
      <c r="P8" s="48" t="s">
        <v>1</v>
      </c>
      <c r="Q8" s="39" t="s">
        <v>1</v>
      </c>
      <c r="R8" s="39" t="s">
        <v>2</v>
      </c>
      <c r="S8" s="39" t="s">
        <v>2</v>
      </c>
      <c r="T8" s="48" t="s">
        <v>1</v>
      </c>
      <c r="U8" s="39" t="s">
        <v>2</v>
      </c>
      <c r="V8" s="39" t="s">
        <v>2</v>
      </c>
      <c r="W8" s="48" t="s">
        <v>1</v>
      </c>
      <c r="X8" s="39" t="s">
        <v>1</v>
      </c>
      <c r="Y8" s="39" t="s">
        <v>2</v>
      </c>
      <c r="Z8" s="39" t="s">
        <v>2</v>
      </c>
      <c r="AA8" s="48" t="s">
        <v>1</v>
      </c>
      <c r="AB8" s="39" t="s">
        <v>2</v>
      </c>
      <c r="AC8" s="39" t="s">
        <v>2</v>
      </c>
      <c r="AD8" s="639" t="s">
        <v>2</v>
      </c>
      <c r="AE8" s="39" t="s">
        <v>1</v>
      </c>
      <c r="AF8" s="39" t="s">
        <v>2</v>
      </c>
      <c r="AG8" s="39" t="s">
        <v>2</v>
      </c>
      <c r="AH8" s="48" t="s">
        <v>1</v>
      </c>
      <c r="AI8" s="39" t="s">
        <v>2</v>
      </c>
      <c r="AJ8" s="39" t="s">
        <v>2</v>
      </c>
      <c r="AK8" s="48" t="s">
        <v>1</v>
      </c>
      <c r="AL8" s="638">
        <f>COUNTIF(G8:AK8,"▲")</f>
        <v>0</v>
      </c>
      <c r="AM8" s="21">
        <f>COUNTIF(G8:AK8,"D")</f>
        <v>20</v>
      </c>
      <c r="AN8" s="22">
        <f>COUNTIF(G8:AK8,"●")</f>
        <v>11</v>
      </c>
      <c r="AO8" s="27">
        <f>AN8+AL8</f>
        <v>11</v>
      </c>
      <c r="AP8" s="10"/>
      <c r="AR8"/>
    </row>
    <row r="9" spans="1:81" ht="22" customHeight="1">
      <c r="A9" s="701"/>
      <c r="B9" s="20">
        <v>4</v>
      </c>
      <c r="C9" s="825" t="s">
        <v>46</v>
      </c>
      <c r="D9" s="826"/>
      <c r="E9" s="804" t="s">
        <v>24</v>
      </c>
      <c r="F9" s="827"/>
      <c r="G9" s="637" t="s">
        <v>2</v>
      </c>
      <c r="H9" s="604" t="s">
        <v>1</v>
      </c>
      <c r="I9" s="600" t="s">
        <v>2</v>
      </c>
      <c r="J9" s="40" t="s">
        <v>1</v>
      </c>
      <c r="K9" s="600" t="s">
        <v>2</v>
      </c>
      <c r="L9" s="600" t="s">
        <v>2</v>
      </c>
      <c r="M9" s="57" t="s">
        <v>1</v>
      </c>
      <c r="N9" s="600" t="s">
        <v>2</v>
      </c>
      <c r="O9" s="600" t="s">
        <v>2</v>
      </c>
      <c r="P9" s="600" t="s">
        <v>2</v>
      </c>
      <c r="Q9" s="40" t="s">
        <v>1</v>
      </c>
      <c r="R9" s="600" t="s">
        <v>2</v>
      </c>
      <c r="S9" s="600" t="s">
        <v>2</v>
      </c>
      <c r="T9" s="604" t="s">
        <v>1</v>
      </c>
      <c r="U9" s="600" t="s">
        <v>2</v>
      </c>
      <c r="V9" s="600" t="s">
        <v>2</v>
      </c>
      <c r="W9" s="604" t="s">
        <v>1</v>
      </c>
      <c r="X9" s="40" t="s">
        <v>1</v>
      </c>
      <c r="Y9" s="57" t="s">
        <v>1</v>
      </c>
      <c r="Z9" s="40" t="s">
        <v>2</v>
      </c>
      <c r="AA9" s="40" t="s">
        <v>2</v>
      </c>
      <c r="AB9" s="57" t="s">
        <v>1</v>
      </c>
      <c r="AC9" s="600" t="s">
        <v>2</v>
      </c>
      <c r="AD9" s="600" t="s">
        <v>2</v>
      </c>
      <c r="AE9" s="40" t="s">
        <v>1</v>
      </c>
      <c r="AF9" s="600" t="s">
        <v>2</v>
      </c>
      <c r="AG9" s="600" t="s">
        <v>2</v>
      </c>
      <c r="AH9" s="600" t="s">
        <v>2</v>
      </c>
      <c r="AI9" s="600" t="s">
        <v>2</v>
      </c>
      <c r="AJ9" s="600" t="s">
        <v>2</v>
      </c>
      <c r="AK9" s="57" t="s">
        <v>1</v>
      </c>
      <c r="AL9" s="599">
        <f>COUNTIF(G9:AK9,"▲")</f>
        <v>0</v>
      </c>
      <c r="AM9" s="21">
        <f>COUNTIF(G9:AK9,"D")</f>
        <v>20</v>
      </c>
      <c r="AN9" s="22">
        <f>COUNTIF(G9:AK9,"●")</f>
        <v>11</v>
      </c>
      <c r="AO9" s="27">
        <f>AN9+AL9</f>
        <v>11</v>
      </c>
      <c r="AP9" s="10"/>
      <c r="AQ9"/>
      <c r="AR9"/>
      <c r="AS9"/>
      <c r="AT9"/>
    </row>
    <row r="10" spans="1:81" ht="22" customHeight="1">
      <c r="A10" s="701"/>
      <c r="B10" s="20">
        <v>5</v>
      </c>
      <c r="C10" s="828" t="s">
        <v>167</v>
      </c>
      <c r="D10" s="829"/>
      <c r="E10" s="804" t="s">
        <v>24</v>
      </c>
      <c r="F10" s="805"/>
      <c r="G10" s="637" t="s">
        <v>2</v>
      </c>
      <c r="H10" s="600" t="s">
        <v>2</v>
      </c>
      <c r="I10" s="57" t="s">
        <v>1</v>
      </c>
      <c r="J10" s="40" t="s">
        <v>1</v>
      </c>
      <c r="K10" s="57" t="s">
        <v>1</v>
      </c>
      <c r="L10" s="230" t="s">
        <v>2</v>
      </c>
      <c r="M10" s="600" t="s">
        <v>2</v>
      </c>
      <c r="N10" s="600" t="s">
        <v>2</v>
      </c>
      <c r="O10" s="600" t="s">
        <v>2</v>
      </c>
      <c r="P10" s="57" t="s">
        <v>1</v>
      </c>
      <c r="Q10" s="40" t="s">
        <v>1</v>
      </c>
      <c r="R10" s="600" t="s">
        <v>2</v>
      </c>
      <c r="S10" s="600" t="s">
        <v>2</v>
      </c>
      <c r="T10" s="600" t="s">
        <v>2</v>
      </c>
      <c r="U10" s="40" t="s">
        <v>2</v>
      </c>
      <c r="V10" s="57" t="s">
        <v>1</v>
      </c>
      <c r="W10" s="600" t="s">
        <v>2</v>
      </c>
      <c r="X10" s="40" t="s">
        <v>1</v>
      </c>
      <c r="Y10" s="40" t="s">
        <v>2</v>
      </c>
      <c r="Z10" s="40" t="s">
        <v>2</v>
      </c>
      <c r="AA10" s="57" t="s">
        <v>1</v>
      </c>
      <c r="AB10" s="40" t="s">
        <v>2</v>
      </c>
      <c r="AC10" s="57" t="s">
        <v>1</v>
      </c>
      <c r="AD10" s="581" t="s">
        <v>20</v>
      </c>
      <c r="AE10" s="40" t="s">
        <v>1</v>
      </c>
      <c r="AF10" s="581" t="s">
        <v>20</v>
      </c>
      <c r="AG10" s="581" t="s">
        <v>20</v>
      </c>
      <c r="AH10" s="581" t="s">
        <v>20</v>
      </c>
      <c r="AI10" s="57" t="s">
        <v>1</v>
      </c>
      <c r="AJ10" s="600" t="s">
        <v>2</v>
      </c>
      <c r="AK10" s="600" t="s">
        <v>2</v>
      </c>
      <c r="AL10" s="599">
        <f>COUNTIF(G10:AK10,"▲")</f>
        <v>0</v>
      </c>
      <c r="AM10" s="21">
        <f>COUNTIF(G10:AK10,"D")</f>
        <v>16</v>
      </c>
      <c r="AN10" s="22">
        <f>COUNTIF(G10:AK10,"●")</f>
        <v>11</v>
      </c>
      <c r="AO10" s="27">
        <f>AN10+AL10</f>
        <v>11</v>
      </c>
      <c r="AP10" s="238"/>
      <c r="AR10"/>
    </row>
    <row r="11" spans="1:81" ht="22" customHeight="1">
      <c r="A11" s="701"/>
      <c r="B11" s="20">
        <v>6</v>
      </c>
      <c r="C11" s="817" t="s">
        <v>617</v>
      </c>
      <c r="D11" s="789"/>
      <c r="E11" s="804" t="s">
        <v>32</v>
      </c>
      <c r="F11" s="805"/>
      <c r="G11" s="637" t="s">
        <v>2</v>
      </c>
      <c r="H11" s="600" t="s">
        <v>2</v>
      </c>
      <c r="I11" s="57" t="s">
        <v>1</v>
      </c>
      <c r="J11" s="40" t="s">
        <v>1</v>
      </c>
      <c r="K11" s="600" t="s">
        <v>2</v>
      </c>
      <c r="L11" s="59" t="s">
        <v>2</v>
      </c>
      <c r="M11" s="600" t="s">
        <v>2</v>
      </c>
      <c r="N11" s="600" t="s">
        <v>2</v>
      </c>
      <c r="O11" s="57" t="s">
        <v>1</v>
      </c>
      <c r="P11" s="600" t="s">
        <v>2</v>
      </c>
      <c r="Q11" s="40" t="s">
        <v>1</v>
      </c>
      <c r="R11" s="600" t="s">
        <v>2</v>
      </c>
      <c r="S11" s="57" t="s">
        <v>1</v>
      </c>
      <c r="T11" s="40" t="s">
        <v>2</v>
      </c>
      <c r="U11" s="57" t="s">
        <v>1</v>
      </c>
      <c r="V11" s="40" t="s">
        <v>2</v>
      </c>
      <c r="W11" s="600" t="s">
        <v>2</v>
      </c>
      <c r="X11" s="40" t="s">
        <v>1</v>
      </c>
      <c r="Y11" s="600" t="s">
        <v>2</v>
      </c>
      <c r="Z11" s="57" t="s">
        <v>1</v>
      </c>
      <c r="AA11" s="600" t="s">
        <v>2</v>
      </c>
      <c r="AB11" s="600" t="s">
        <v>2</v>
      </c>
      <c r="AC11" s="600" t="s">
        <v>2</v>
      </c>
      <c r="AD11" s="604" t="s">
        <v>1</v>
      </c>
      <c r="AE11" s="40" t="s">
        <v>1</v>
      </c>
      <c r="AF11" s="600" t="s">
        <v>2</v>
      </c>
      <c r="AG11" s="600" t="s">
        <v>2</v>
      </c>
      <c r="AH11" s="600" t="s">
        <v>2</v>
      </c>
      <c r="AI11" s="600" t="s">
        <v>2</v>
      </c>
      <c r="AJ11" s="57" t="s">
        <v>1</v>
      </c>
      <c r="AK11" s="600" t="s">
        <v>2</v>
      </c>
      <c r="AL11" s="599">
        <f>COUNTIF(G11:AK11,"▲")</f>
        <v>0</v>
      </c>
      <c r="AM11" s="21">
        <f>COUNTIF(G11:AK11,"D")</f>
        <v>20</v>
      </c>
      <c r="AN11" s="22">
        <f>COUNTIF(G11:AK11,"●")</f>
        <v>11</v>
      </c>
      <c r="AO11" s="27">
        <f>AN11+AL11</f>
        <v>11</v>
      </c>
      <c r="AP11" s="409"/>
      <c r="AQ11" t="s">
        <v>638</v>
      </c>
      <c r="AS11"/>
      <c r="AT11"/>
    </row>
    <row r="12" spans="1:81" ht="22" customHeight="1" thickBot="1">
      <c r="A12" s="701"/>
      <c r="B12" s="377">
        <v>7</v>
      </c>
      <c r="C12" s="830" t="s">
        <v>29</v>
      </c>
      <c r="D12" s="831"/>
      <c r="E12" s="823" t="s">
        <v>28</v>
      </c>
      <c r="F12" s="824"/>
      <c r="G12" s="142" t="s">
        <v>2</v>
      </c>
      <c r="H12" s="43" t="s">
        <v>2</v>
      </c>
      <c r="I12" s="50" t="s">
        <v>1</v>
      </c>
      <c r="J12" s="43" t="s">
        <v>1</v>
      </c>
      <c r="K12" s="50" t="s">
        <v>1</v>
      </c>
      <c r="L12" s="43" t="s">
        <v>2</v>
      </c>
      <c r="M12" s="43" t="s">
        <v>2</v>
      </c>
      <c r="N12" s="43" t="s">
        <v>2</v>
      </c>
      <c r="O12" s="50" t="s">
        <v>1</v>
      </c>
      <c r="P12" s="50" t="s">
        <v>1</v>
      </c>
      <c r="Q12" s="43" t="s">
        <v>1</v>
      </c>
      <c r="R12" s="44" t="s">
        <v>2</v>
      </c>
      <c r="S12" s="44" t="s">
        <v>2</v>
      </c>
      <c r="T12" s="44" t="s">
        <v>2</v>
      </c>
      <c r="U12" s="636" t="s">
        <v>0</v>
      </c>
      <c r="V12" s="636" t="s">
        <v>0</v>
      </c>
      <c r="W12" s="83" t="s">
        <v>1</v>
      </c>
      <c r="X12" s="43" t="s">
        <v>1</v>
      </c>
      <c r="Y12" s="43" t="s">
        <v>2</v>
      </c>
      <c r="Z12" s="43" t="s">
        <v>2</v>
      </c>
      <c r="AA12" s="43" t="s">
        <v>2</v>
      </c>
      <c r="AB12" s="43" t="s">
        <v>2</v>
      </c>
      <c r="AC12" s="43" t="s">
        <v>2</v>
      </c>
      <c r="AD12" s="50" t="s">
        <v>1</v>
      </c>
      <c r="AE12" s="43" t="s">
        <v>1</v>
      </c>
      <c r="AF12" s="43" t="s">
        <v>2</v>
      </c>
      <c r="AG12" s="43" t="s">
        <v>2</v>
      </c>
      <c r="AH12" s="43" t="s">
        <v>2</v>
      </c>
      <c r="AI12" s="43" t="s">
        <v>2</v>
      </c>
      <c r="AJ12" s="43" t="s">
        <v>2</v>
      </c>
      <c r="AK12" s="50" t="s">
        <v>1</v>
      </c>
      <c r="AL12" s="594">
        <f>COUNTIF(G12:AK12,"▲")</f>
        <v>2</v>
      </c>
      <c r="AM12" s="21">
        <f>COUNTIF(G12:AK12,"D")</f>
        <v>18</v>
      </c>
      <c r="AN12" s="22">
        <f>COUNTIF(G12:AK12,"●")</f>
        <v>11</v>
      </c>
      <c r="AO12" s="27">
        <f>AN12+AL12</f>
        <v>13</v>
      </c>
      <c r="AP12" s="10"/>
    </row>
    <row r="13" spans="1:81" ht="22" customHeight="1">
      <c r="A13" s="701"/>
      <c r="B13" s="353">
        <v>8</v>
      </c>
      <c r="C13" s="832" t="s">
        <v>26</v>
      </c>
      <c r="D13" s="833"/>
      <c r="E13" s="834" t="s">
        <v>31</v>
      </c>
      <c r="F13" s="835"/>
      <c r="G13" s="635" t="s">
        <v>0</v>
      </c>
      <c r="H13" s="42" t="s">
        <v>2</v>
      </c>
      <c r="I13" s="56" t="s">
        <v>1</v>
      </c>
      <c r="J13" s="42" t="s">
        <v>1</v>
      </c>
      <c r="K13" s="42" t="s">
        <v>2</v>
      </c>
      <c r="L13" s="42" t="s">
        <v>2</v>
      </c>
      <c r="M13" s="42" t="s">
        <v>2</v>
      </c>
      <c r="N13" s="42" t="s">
        <v>2</v>
      </c>
      <c r="O13" s="56" t="s">
        <v>1</v>
      </c>
      <c r="P13" s="56" t="s">
        <v>1</v>
      </c>
      <c r="Q13" s="113" t="s">
        <v>1</v>
      </c>
      <c r="R13" s="323" t="s">
        <v>2</v>
      </c>
      <c r="S13" s="81" t="s">
        <v>2</v>
      </c>
      <c r="T13" s="81" t="s">
        <v>2</v>
      </c>
      <c r="U13" s="81" t="s">
        <v>2</v>
      </c>
      <c r="V13" s="81" t="s">
        <v>2</v>
      </c>
      <c r="W13" s="325" t="s">
        <v>1</v>
      </c>
      <c r="X13" s="69" t="s">
        <v>1</v>
      </c>
      <c r="Y13" s="42" t="s">
        <v>2</v>
      </c>
      <c r="Z13" s="42" t="s">
        <v>2</v>
      </c>
      <c r="AA13" s="42" t="s">
        <v>2</v>
      </c>
      <c r="AB13" s="56" t="s">
        <v>1</v>
      </c>
      <c r="AC13" s="42" t="s">
        <v>2</v>
      </c>
      <c r="AD13" s="627" t="s">
        <v>2</v>
      </c>
      <c r="AE13" s="42" t="s">
        <v>1</v>
      </c>
      <c r="AF13" s="42" t="s">
        <v>2</v>
      </c>
      <c r="AG13" s="42" t="s">
        <v>2</v>
      </c>
      <c r="AH13" s="42" t="s">
        <v>2</v>
      </c>
      <c r="AI13" s="56" t="s">
        <v>1</v>
      </c>
      <c r="AJ13" s="42" t="s">
        <v>2</v>
      </c>
      <c r="AK13" s="56" t="s">
        <v>1</v>
      </c>
      <c r="AL13" s="612">
        <f>COUNTIF(G13:AK13,"▲")</f>
        <v>1</v>
      </c>
      <c r="AM13" s="21">
        <f>COUNTIF(G13:AK13,"D")</f>
        <v>19</v>
      </c>
      <c r="AN13" s="22">
        <f>COUNTIF(G13:AK13,"●")</f>
        <v>11</v>
      </c>
      <c r="AO13" s="27">
        <f>AN13+AL13</f>
        <v>12</v>
      </c>
      <c r="AP13" s="238"/>
      <c r="AQ13" s="470"/>
      <c r="AR13" s="700"/>
      <c r="AS13" s="700"/>
      <c r="AT13"/>
    </row>
    <row r="14" spans="1:81" ht="21.75" customHeight="1">
      <c r="A14" s="19" t="s">
        <v>80</v>
      </c>
      <c r="B14" s="301">
        <v>9</v>
      </c>
      <c r="C14" s="817" t="s">
        <v>39</v>
      </c>
      <c r="D14" s="789"/>
      <c r="E14" s="804" t="s">
        <v>31</v>
      </c>
      <c r="F14" s="805"/>
      <c r="G14" s="70" t="s">
        <v>2</v>
      </c>
      <c r="H14" s="40" t="s">
        <v>2</v>
      </c>
      <c r="I14" s="57" t="s">
        <v>1</v>
      </c>
      <c r="J14" s="40" t="s">
        <v>1</v>
      </c>
      <c r="K14" s="604" t="s">
        <v>1</v>
      </c>
      <c r="L14" s="40" t="s">
        <v>2</v>
      </c>
      <c r="M14" s="40" t="s">
        <v>2</v>
      </c>
      <c r="N14" s="91" t="s">
        <v>0</v>
      </c>
      <c r="O14" s="40" t="s">
        <v>2</v>
      </c>
      <c r="P14" s="600" t="s">
        <v>2</v>
      </c>
      <c r="Q14" s="68" t="s">
        <v>1</v>
      </c>
      <c r="R14" s="285" t="s">
        <v>2</v>
      </c>
      <c r="S14" s="40" t="s">
        <v>2</v>
      </c>
      <c r="T14" s="57" t="s">
        <v>1</v>
      </c>
      <c r="U14" s="40" t="s">
        <v>2</v>
      </c>
      <c r="V14" s="40" t="s">
        <v>2</v>
      </c>
      <c r="W14" s="624" t="s">
        <v>1</v>
      </c>
      <c r="X14" s="64" t="s">
        <v>1</v>
      </c>
      <c r="Y14" s="40" t="s">
        <v>2</v>
      </c>
      <c r="Z14" s="40" t="s">
        <v>2</v>
      </c>
      <c r="AA14" s="57" t="s">
        <v>1</v>
      </c>
      <c r="AB14" s="40" t="s">
        <v>2</v>
      </c>
      <c r="AC14" s="40" t="s">
        <v>2</v>
      </c>
      <c r="AD14" s="600" t="s">
        <v>2</v>
      </c>
      <c r="AE14" s="40" t="s">
        <v>1</v>
      </c>
      <c r="AF14" s="40" t="s">
        <v>2</v>
      </c>
      <c r="AG14" s="57" t="s">
        <v>1</v>
      </c>
      <c r="AH14" s="40" t="s">
        <v>2</v>
      </c>
      <c r="AI14" s="40" t="s">
        <v>2</v>
      </c>
      <c r="AJ14" s="40" t="s">
        <v>2</v>
      </c>
      <c r="AK14" s="57" t="s">
        <v>1</v>
      </c>
      <c r="AL14" s="599">
        <f>COUNTIF(G14:AK14,"▲")</f>
        <v>1</v>
      </c>
      <c r="AM14" s="21">
        <f>COUNTIF(G14:AK14,"D")</f>
        <v>19</v>
      </c>
      <c r="AN14" s="22">
        <f>COUNTIF(G14:AK14,"●")</f>
        <v>11</v>
      </c>
      <c r="AO14" s="27">
        <f>AN14+AL14</f>
        <v>12</v>
      </c>
      <c r="AP14" s="238"/>
      <c r="AQ14"/>
      <c r="AR14" s="96"/>
      <c r="AS14" s="96"/>
    </row>
    <row r="15" spans="1:81" ht="21.75" customHeight="1">
      <c r="A15" s="19"/>
      <c r="B15" s="301">
        <v>10</v>
      </c>
      <c r="C15" s="817" t="s">
        <v>49</v>
      </c>
      <c r="D15" s="789"/>
      <c r="E15" s="804" t="s">
        <v>31</v>
      </c>
      <c r="F15" s="805"/>
      <c r="G15" s="58" t="s">
        <v>2</v>
      </c>
      <c r="H15" s="40" t="s">
        <v>2</v>
      </c>
      <c r="I15" s="57" t="s">
        <v>1</v>
      </c>
      <c r="J15" s="40" t="s">
        <v>1</v>
      </c>
      <c r="K15" s="57" t="s">
        <v>1</v>
      </c>
      <c r="L15" s="40" t="s">
        <v>2</v>
      </c>
      <c r="M15" s="604" t="s">
        <v>1</v>
      </c>
      <c r="N15" s="40" t="s">
        <v>2</v>
      </c>
      <c r="O15" s="40" t="s">
        <v>2</v>
      </c>
      <c r="P15" s="600" t="s">
        <v>2</v>
      </c>
      <c r="Q15" s="68" t="s">
        <v>1</v>
      </c>
      <c r="R15" s="285" t="s">
        <v>2</v>
      </c>
      <c r="S15" s="40" t="s">
        <v>2</v>
      </c>
      <c r="T15" s="40" t="s">
        <v>2</v>
      </c>
      <c r="U15" s="57" t="s">
        <v>1</v>
      </c>
      <c r="V15" s="40" t="s">
        <v>2</v>
      </c>
      <c r="W15" s="602" t="s">
        <v>2</v>
      </c>
      <c r="X15" s="64" t="s">
        <v>1</v>
      </c>
      <c r="Y15" s="40" t="s">
        <v>2</v>
      </c>
      <c r="Z15" s="40" t="s">
        <v>2</v>
      </c>
      <c r="AA15" s="40" t="s">
        <v>2</v>
      </c>
      <c r="AB15" s="40" t="s">
        <v>2</v>
      </c>
      <c r="AC15" s="604" t="s">
        <v>1</v>
      </c>
      <c r="AD15" s="57" t="s">
        <v>1</v>
      </c>
      <c r="AE15" s="40" t="s">
        <v>1</v>
      </c>
      <c r="AF15" s="40" t="s">
        <v>2</v>
      </c>
      <c r="AG15" s="40" t="s">
        <v>2</v>
      </c>
      <c r="AH15" s="91" t="s">
        <v>0</v>
      </c>
      <c r="AI15" s="40" t="s">
        <v>2</v>
      </c>
      <c r="AJ15" s="40" t="s">
        <v>2</v>
      </c>
      <c r="AK15" s="57" t="s">
        <v>1</v>
      </c>
      <c r="AL15" s="599">
        <f>COUNTIF(G15:AK15,"▲")</f>
        <v>1</v>
      </c>
      <c r="AM15" s="21">
        <f>COUNTIF(G15:AK15,"D")</f>
        <v>19</v>
      </c>
      <c r="AN15" s="22">
        <f>COUNTIF(G15:AK15,"●")</f>
        <v>11</v>
      </c>
      <c r="AO15" s="27">
        <f>AN15+AL15</f>
        <v>12</v>
      </c>
      <c r="AP15" s="10"/>
      <c r="AR15" s="96"/>
      <c r="AS15" s="96"/>
    </row>
    <row r="16" spans="1:81" ht="21.75" customHeight="1" thickBot="1">
      <c r="A16" s="19" t="s">
        <v>613</v>
      </c>
      <c r="B16" s="377">
        <v>11</v>
      </c>
      <c r="C16" s="821" t="s">
        <v>192</v>
      </c>
      <c r="D16" s="822"/>
      <c r="E16" s="823" t="s">
        <v>31</v>
      </c>
      <c r="F16" s="824"/>
      <c r="G16" s="66" t="s">
        <v>2</v>
      </c>
      <c r="H16" s="121" t="s">
        <v>2</v>
      </c>
      <c r="I16" s="631" t="s">
        <v>2</v>
      </c>
      <c r="J16" s="44" t="s">
        <v>1</v>
      </c>
      <c r="K16" s="44" t="s">
        <v>2</v>
      </c>
      <c r="L16" s="44" t="s">
        <v>2</v>
      </c>
      <c r="M16" s="44" t="s">
        <v>2</v>
      </c>
      <c r="N16" s="44" t="s">
        <v>2</v>
      </c>
      <c r="O16" s="83" t="s">
        <v>1</v>
      </c>
      <c r="P16" s="634" t="s">
        <v>1</v>
      </c>
      <c r="Q16" s="87" t="s">
        <v>1</v>
      </c>
      <c r="R16" s="633" t="s">
        <v>1</v>
      </c>
      <c r="S16" s="632" t="s">
        <v>0</v>
      </c>
      <c r="T16" s="321" t="s">
        <v>2</v>
      </c>
      <c r="U16" s="321" t="s">
        <v>2</v>
      </c>
      <c r="V16" s="321" t="s">
        <v>2</v>
      </c>
      <c r="W16" s="288" t="s">
        <v>1</v>
      </c>
      <c r="X16" s="86" t="s">
        <v>1</v>
      </c>
      <c r="Y16" s="44" t="s">
        <v>2</v>
      </c>
      <c r="Z16" s="83" t="s">
        <v>1</v>
      </c>
      <c r="AA16" s="44" t="s">
        <v>2</v>
      </c>
      <c r="AB16" s="44" t="s">
        <v>2</v>
      </c>
      <c r="AC16" s="44" t="s">
        <v>2</v>
      </c>
      <c r="AD16" s="83" t="s">
        <v>1</v>
      </c>
      <c r="AE16" s="44" t="s">
        <v>1</v>
      </c>
      <c r="AF16" s="44" t="s">
        <v>2</v>
      </c>
      <c r="AG16" s="44" t="s">
        <v>2</v>
      </c>
      <c r="AH16" s="44" t="s">
        <v>2</v>
      </c>
      <c r="AI16" s="44" t="s">
        <v>2</v>
      </c>
      <c r="AJ16" s="83" t="s">
        <v>1</v>
      </c>
      <c r="AK16" s="631" t="s">
        <v>2</v>
      </c>
      <c r="AL16" s="630">
        <f>COUNTIF(G16:AK16,"▲")</f>
        <v>1</v>
      </c>
      <c r="AM16" s="21">
        <f>COUNTIF(G16:AK16,"D")</f>
        <v>19</v>
      </c>
      <c r="AN16" s="22">
        <f>COUNTIF(G16:AK16,"●")</f>
        <v>11</v>
      </c>
      <c r="AO16" s="27">
        <f>AN16+AL16</f>
        <v>12</v>
      </c>
      <c r="AP16" s="238"/>
      <c r="AQ16" s="689"/>
      <c r="AR16" s="689"/>
      <c r="AS16" s="653"/>
      <c r="AT16" s="653"/>
      <c r="AU16" s="156"/>
      <c r="AV16" s="157"/>
      <c r="AW16" s="157"/>
      <c r="AX16" s="218"/>
      <c r="AY16" s="157"/>
      <c r="AZ16" s="218"/>
      <c r="BA16" s="157"/>
      <c r="BB16" s="203"/>
      <c r="BC16" s="157"/>
      <c r="BD16" s="157"/>
      <c r="BE16" s="157"/>
      <c r="BF16" s="157"/>
      <c r="BG16" s="157"/>
      <c r="BH16" s="157"/>
      <c r="BI16" s="156"/>
      <c r="BJ16" s="157"/>
      <c r="BK16" s="157"/>
      <c r="BL16" s="158"/>
      <c r="BM16" s="158"/>
      <c r="BN16" s="157"/>
      <c r="BO16" s="157"/>
      <c r="BP16" s="302"/>
      <c r="BQ16" s="157"/>
      <c r="BR16" s="157"/>
      <c r="BS16" s="158"/>
      <c r="BT16" s="157"/>
      <c r="BU16" s="299"/>
      <c r="BV16" s="157"/>
      <c r="BW16" s="157"/>
      <c r="BX16" s="157"/>
      <c r="BY16" s="156"/>
      <c r="BZ16" s="159"/>
      <c r="CA16" s="161"/>
      <c r="CB16" s="160"/>
      <c r="CC16" s="160"/>
    </row>
    <row r="17" spans="1:83" ht="21.75" customHeight="1">
      <c r="A17" s="19"/>
      <c r="B17" s="301">
        <v>12</v>
      </c>
      <c r="C17" s="807" t="s">
        <v>25</v>
      </c>
      <c r="D17" s="808"/>
      <c r="E17" s="804" t="s">
        <v>30</v>
      </c>
      <c r="F17" s="805"/>
      <c r="G17" s="70" t="s">
        <v>2</v>
      </c>
      <c r="H17" s="40" t="s">
        <v>2</v>
      </c>
      <c r="I17" s="40" t="s">
        <v>2</v>
      </c>
      <c r="J17" s="68" t="s">
        <v>1</v>
      </c>
      <c r="K17" s="322" t="s">
        <v>2</v>
      </c>
      <c r="L17" s="81" t="s">
        <v>2</v>
      </c>
      <c r="M17" s="279" t="s">
        <v>1</v>
      </c>
      <c r="N17" s="81" t="s">
        <v>2</v>
      </c>
      <c r="O17" s="629" t="s">
        <v>2</v>
      </c>
      <c r="P17" s="325" t="s">
        <v>1</v>
      </c>
      <c r="Q17" s="64" t="s">
        <v>1</v>
      </c>
      <c r="R17" s="42" t="s">
        <v>2</v>
      </c>
      <c r="S17" s="113" t="s">
        <v>2</v>
      </c>
      <c r="T17" s="628" t="s">
        <v>628</v>
      </c>
      <c r="U17" s="69" t="s">
        <v>2</v>
      </c>
      <c r="V17" s="42" t="s">
        <v>2</v>
      </c>
      <c r="W17" s="627" t="s">
        <v>2</v>
      </c>
      <c r="X17" s="40" t="s">
        <v>1</v>
      </c>
      <c r="Y17" s="40" t="s">
        <v>2</v>
      </c>
      <c r="Z17" s="40" t="s">
        <v>2</v>
      </c>
      <c r="AA17" s="68" t="s">
        <v>2</v>
      </c>
      <c r="AB17" s="575" t="s">
        <v>626</v>
      </c>
      <c r="AC17" s="64" t="s">
        <v>2</v>
      </c>
      <c r="AD17" s="604" t="s">
        <v>1</v>
      </c>
      <c r="AE17" s="68" t="s">
        <v>1</v>
      </c>
      <c r="AF17" s="626" t="s">
        <v>1</v>
      </c>
      <c r="AG17" s="81" t="s">
        <v>2</v>
      </c>
      <c r="AH17" s="279" t="s">
        <v>1</v>
      </c>
      <c r="AI17" s="81" t="s">
        <v>2</v>
      </c>
      <c r="AJ17" s="81" t="s">
        <v>2</v>
      </c>
      <c r="AK17" s="325" t="s">
        <v>1</v>
      </c>
      <c r="AL17" s="268">
        <f>COUNTIF(G17:AK17,"▲")</f>
        <v>0</v>
      </c>
      <c r="AM17" s="21">
        <f>COUNTIF(G17:AK17,"D")</f>
        <v>19</v>
      </c>
      <c r="AN17" s="22">
        <v>11</v>
      </c>
      <c r="AO17" s="27">
        <f>AN17+AL17</f>
        <v>11</v>
      </c>
      <c r="AP17" s="238"/>
      <c r="AQ17" s="689"/>
      <c r="AR17" s="689"/>
      <c r="AS17" s="653"/>
      <c r="AT17" s="653"/>
      <c r="AU17" s="156"/>
      <c r="AV17" s="157"/>
      <c r="AW17" s="157"/>
      <c r="AX17" s="158"/>
      <c r="AY17" s="156"/>
      <c r="AZ17" s="156"/>
      <c r="BA17" s="156"/>
      <c r="BB17" s="156"/>
      <c r="BC17" s="157"/>
      <c r="BD17" s="206"/>
      <c r="BE17" s="206"/>
      <c r="BF17" s="218"/>
      <c r="BG17" s="206"/>
      <c r="BH17" s="16"/>
      <c r="BI17" s="156"/>
      <c r="BJ17" s="157"/>
      <c r="BK17" s="206"/>
      <c r="BL17" s="218"/>
      <c r="BM17" s="218"/>
      <c r="BN17" s="218"/>
      <c r="BO17" s="206"/>
      <c r="BP17" s="203"/>
      <c r="BQ17" s="157"/>
      <c r="BR17" s="206"/>
      <c r="BS17" s="218"/>
      <c r="BT17" s="218"/>
      <c r="BU17" s="306"/>
      <c r="BV17" s="218"/>
      <c r="BW17" s="203"/>
      <c r="BX17" s="157"/>
      <c r="BY17" s="157"/>
      <c r="BZ17" s="159"/>
      <c r="CA17" s="161"/>
      <c r="CB17" s="160"/>
      <c r="CC17" s="160"/>
    </row>
    <row r="18" spans="1:83" ht="22" customHeight="1">
      <c r="A18" s="19"/>
      <c r="B18" s="301">
        <v>13</v>
      </c>
      <c r="C18" s="817" t="s">
        <v>38</v>
      </c>
      <c r="D18" s="789"/>
      <c r="E18" s="804" t="s">
        <v>31</v>
      </c>
      <c r="F18" s="805"/>
      <c r="G18" s="70" t="s">
        <v>2</v>
      </c>
      <c r="H18" s="44" t="s">
        <v>2</v>
      </c>
      <c r="I18" s="57" t="s">
        <v>1</v>
      </c>
      <c r="J18" s="68" t="s">
        <v>1</v>
      </c>
      <c r="K18" s="625" t="s">
        <v>2</v>
      </c>
      <c r="L18" s="40" t="s">
        <v>2</v>
      </c>
      <c r="M18" s="40" t="s">
        <v>2</v>
      </c>
      <c r="N18" s="40" t="s">
        <v>2</v>
      </c>
      <c r="O18" s="57" t="s">
        <v>1</v>
      </c>
      <c r="P18" s="624" t="s">
        <v>1</v>
      </c>
      <c r="Q18" s="64" t="s">
        <v>1</v>
      </c>
      <c r="R18" s="40" t="s">
        <v>2</v>
      </c>
      <c r="S18" s="195" t="s">
        <v>1</v>
      </c>
      <c r="T18" s="40" t="s">
        <v>2</v>
      </c>
      <c r="U18" s="64" t="s">
        <v>2</v>
      </c>
      <c r="V18" s="40" t="s">
        <v>2</v>
      </c>
      <c r="W18" s="57" t="s">
        <v>1</v>
      </c>
      <c r="X18" s="40" t="s">
        <v>1</v>
      </c>
      <c r="Y18" s="601" t="s">
        <v>0</v>
      </c>
      <c r="Z18" s="40" t="s">
        <v>2</v>
      </c>
      <c r="AA18" s="40" t="s">
        <v>2</v>
      </c>
      <c r="AB18" s="42" t="s">
        <v>2</v>
      </c>
      <c r="AC18" s="57" t="s">
        <v>1</v>
      </c>
      <c r="AD18" s="600" t="s">
        <v>2</v>
      </c>
      <c r="AE18" s="68" t="s">
        <v>1</v>
      </c>
      <c r="AF18" s="285" t="s">
        <v>2</v>
      </c>
      <c r="AG18" s="40" t="s">
        <v>2</v>
      </c>
      <c r="AH18" s="40" t="s">
        <v>2</v>
      </c>
      <c r="AI18" s="40" t="s">
        <v>2</v>
      </c>
      <c r="AJ18" s="40" t="s">
        <v>2</v>
      </c>
      <c r="AK18" s="624" t="s">
        <v>1</v>
      </c>
      <c r="AL18" s="268">
        <f>COUNTIF(G18:AK18,"▲")</f>
        <v>1</v>
      </c>
      <c r="AM18" s="21">
        <f>COUNTIF(G18:AK18,"D")</f>
        <v>19</v>
      </c>
      <c r="AN18" s="22">
        <f>COUNTIF(G18:AK18,"●")</f>
        <v>11</v>
      </c>
      <c r="AO18" s="27">
        <f>AN18+AL18</f>
        <v>12</v>
      </c>
      <c r="AP18" s="238"/>
      <c r="AQ18" s="303"/>
      <c r="AR18" s="692"/>
      <c r="AS18" s="692"/>
      <c r="AT18" s="693"/>
      <c r="AU18" s="693"/>
      <c r="AV18" s="158"/>
      <c r="AW18" s="157"/>
      <c r="AX18" s="157"/>
      <c r="AY18" s="158"/>
      <c r="AZ18" s="157"/>
      <c r="BA18" s="157"/>
      <c r="BB18" s="157"/>
      <c r="BC18" s="157"/>
      <c r="BD18" s="157"/>
      <c r="BE18" s="157"/>
      <c r="BF18" s="158"/>
      <c r="BG18" s="157"/>
      <c r="BH18" s="158"/>
      <c r="BI18" s="158"/>
      <c r="BJ18" s="158"/>
      <c r="BK18" s="157"/>
      <c r="BL18" s="158"/>
      <c r="BM18" s="157"/>
      <c r="BN18" s="157"/>
      <c r="BO18" s="304"/>
      <c r="BP18" s="157"/>
      <c r="BQ18" s="157"/>
      <c r="BR18" s="157"/>
      <c r="BS18" s="157"/>
      <c r="BT18" s="158"/>
      <c r="BU18" s="157"/>
      <c r="BV18" s="299"/>
      <c r="BW18" s="157"/>
      <c r="BX18" s="158"/>
      <c r="BY18" s="157"/>
      <c r="BZ18" s="158"/>
      <c r="CA18" s="305"/>
      <c r="CB18" s="161"/>
      <c r="CC18" s="161"/>
      <c r="CD18" s="161"/>
    </row>
    <row r="19" spans="1:83" s="573" customFormat="1" ht="22" customHeight="1" thickBot="1">
      <c r="A19" s="19"/>
      <c r="B19" s="301">
        <v>14</v>
      </c>
      <c r="C19" s="817" t="s">
        <v>48</v>
      </c>
      <c r="D19" s="789"/>
      <c r="E19" s="804" t="s">
        <v>31</v>
      </c>
      <c r="F19" s="805"/>
      <c r="G19" s="623" t="s">
        <v>1</v>
      </c>
      <c r="H19" s="622" t="s">
        <v>628</v>
      </c>
      <c r="I19" s="197" t="s">
        <v>1</v>
      </c>
      <c r="J19" s="68" t="s">
        <v>1</v>
      </c>
      <c r="K19" s="621" t="s">
        <v>2</v>
      </c>
      <c r="L19" s="321" t="s">
        <v>2</v>
      </c>
      <c r="M19" s="321" t="s">
        <v>2</v>
      </c>
      <c r="N19" s="281" t="s">
        <v>1</v>
      </c>
      <c r="O19" s="620" t="s">
        <v>2</v>
      </c>
      <c r="P19" s="619" t="s">
        <v>2</v>
      </c>
      <c r="Q19" s="64" t="s">
        <v>1</v>
      </c>
      <c r="R19" s="40" t="s">
        <v>2</v>
      </c>
      <c r="S19" s="68" t="s">
        <v>2</v>
      </c>
      <c r="T19" s="575" t="s">
        <v>626</v>
      </c>
      <c r="U19" s="64" t="s">
        <v>2</v>
      </c>
      <c r="V19" s="40" t="s">
        <v>2</v>
      </c>
      <c r="W19" s="601" t="s">
        <v>0</v>
      </c>
      <c r="X19" s="40" t="s">
        <v>1</v>
      </c>
      <c r="Y19" s="44" t="s">
        <v>2</v>
      </c>
      <c r="Z19" s="44" t="s">
        <v>2</v>
      </c>
      <c r="AA19" s="83" t="s">
        <v>1</v>
      </c>
      <c r="AB19" s="44" t="s">
        <v>2</v>
      </c>
      <c r="AC19" s="44" t="s">
        <v>2</v>
      </c>
      <c r="AD19" s="618" t="s">
        <v>1</v>
      </c>
      <c r="AE19" s="68" t="s">
        <v>1</v>
      </c>
      <c r="AF19" s="341" t="s">
        <v>2</v>
      </c>
      <c r="AG19" s="321" t="s">
        <v>2</v>
      </c>
      <c r="AH19" s="321" t="s">
        <v>2</v>
      </c>
      <c r="AI19" s="281" t="s">
        <v>1</v>
      </c>
      <c r="AJ19" s="321" t="s">
        <v>2</v>
      </c>
      <c r="AK19" s="278" t="s">
        <v>2</v>
      </c>
      <c r="AL19" s="268">
        <f>COUNTIF(G19:AK19,"▲")</f>
        <v>1</v>
      </c>
      <c r="AM19" s="21">
        <f>COUNTIF(G19:AK19,"D")</f>
        <v>18</v>
      </c>
      <c r="AN19" s="22">
        <v>11</v>
      </c>
      <c r="AO19" s="27">
        <f>AN19+AL19</f>
        <v>12</v>
      </c>
      <c r="AP19" s="607"/>
      <c r="AQ19" s="689"/>
      <c r="AR19" s="689"/>
      <c r="AS19" s="806"/>
      <c r="AT19" s="806"/>
      <c r="AU19" s="304"/>
      <c r="AV19" s="304"/>
      <c r="AW19" s="304"/>
      <c r="AX19" s="304"/>
      <c r="AY19" s="299"/>
      <c r="AZ19" s="299"/>
      <c r="BA19" s="304"/>
      <c r="BB19" s="298"/>
      <c r="BC19" s="304"/>
      <c r="BD19" s="304"/>
      <c r="BE19" s="489"/>
      <c r="BF19" s="299"/>
      <c r="BG19" s="298"/>
      <c r="BH19" s="304"/>
      <c r="BI19" s="304"/>
      <c r="BJ19" s="489"/>
      <c r="BK19" s="299"/>
      <c r="BL19" s="304"/>
      <c r="BM19" s="299"/>
      <c r="BN19" s="304"/>
      <c r="BO19" s="304"/>
      <c r="BP19" s="606"/>
      <c r="BQ19" s="304"/>
      <c r="BR19" s="304"/>
      <c r="BS19" s="304"/>
      <c r="BT19" s="299"/>
      <c r="BU19" s="298"/>
      <c r="BV19" s="304"/>
      <c r="BW19" s="298"/>
      <c r="BX19" s="304"/>
      <c r="BY19" s="304"/>
      <c r="BZ19" s="160"/>
      <c r="CA19" s="161"/>
      <c r="CB19" s="160"/>
      <c r="CC19" s="160"/>
    </row>
    <row r="20" spans="1:83" s="573" customFormat="1" ht="22" customHeight="1">
      <c r="A20" s="19">
        <v>5</v>
      </c>
      <c r="B20" s="378">
        <v>15</v>
      </c>
      <c r="C20" s="818" t="s">
        <v>45</v>
      </c>
      <c r="D20" s="788"/>
      <c r="E20" s="819" t="s">
        <v>31</v>
      </c>
      <c r="F20" s="820"/>
      <c r="G20" s="235" t="s">
        <v>2</v>
      </c>
      <c r="H20" s="279" t="s">
        <v>1</v>
      </c>
      <c r="I20" s="617" t="s">
        <v>2</v>
      </c>
      <c r="J20" s="69" t="s">
        <v>1</v>
      </c>
      <c r="K20" s="616" t="s">
        <v>1</v>
      </c>
      <c r="L20" s="42" t="s">
        <v>2</v>
      </c>
      <c r="M20" s="42" t="s">
        <v>2</v>
      </c>
      <c r="N20" s="90" t="s">
        <v>0</v>
      </c>
      <c r="O20" s="614" t="s">
        <v>2</v>
      </c>
      <c r="P20" s="615" t="s">
        <v>1</v>
      </c>
      <c r="Q20" s="42" t="s">
        <v>1</v>
      </c>
      <c r="R20" s="56" t="s">
        <v>1</v>
      </c>
      <c r="S20" s="42" t="s">
        <v>2</v>
      </c>
      <c r="T20" s="42" t="s">
        <v>2</v>
      </c>
      <c r="U20" s="42" t="s">
        <v>2</v>
      </c>
      <c r="V20" s="42" t="s">
        <v>2</v>
      </c>
      <c r="W20" s="614" t="s">
        <v>2</v>
      </c>
      <c r="X20" s="113" t="s">
        <v>1</v>
      </c>
      <c r="Y20" s="322" t="s">
        <v>2</v>
      </c>
      <c r="Z20" s="81" t="s">
        <v>2</v>
      </c>
      <c r="AA20" s="81" t="s">
        <v>2</v>
      </c>
      <c r="AB20" s="81" t="s">
        <v>2</v>
      </c>
      <c r="AC20" s="81" t="s">
        <v>2</v>
      </c>
      <c r="AD20" s="613" t="s">
        <v>1</v>
      </c>
      <c r="AE20" s="69" t="s">
        <v>1</v>
      </c>
      <c r="AF20" s="56" t="s">
        <v>1</v>
      </c>
      <c r="AG20" s="42" t="s">
        <v>2</v>
      </c>
      <c r="AH20" s="42" t="s">
        <v>2</v>
      </c>
      <c r="AI20" s="42" t="s">
        <v>2</v>
      </c>
      <c r="AJ20" s="42" t="s">
        <v>2</v>
      </c>
      <c r="AK20" s="56" t="s">
        <v>1</v>
      </c>
      <c r="AL20" s="612">
        <f>COUNTIF(G20:AK20,"▲")</f>
        <v>1</v>
      </c>
      <c r="AM20" s="21">
        <f>COUNTIF(G20:AK20,"D")</f>
        <v>19</v>
      </c>
      <c r="AN20" s="22">
        <f>COUNTIF(G20:AK20,"●")</f>
        <v>11</v>
      </c>
      <c r="AO20" s="27">
        <f>AN20+AL20</f>
        <v>12</v>
      </c>
      <c r="AP20" s="607"/>
      <c r="AQ20" s="652"/>
      <c r="AR20" s="652"/>
      <c r="AS20" s="806"/>
      <c r="AT20" s="806"/>
      <c r="AU20" s="606"/>
      <c r="AV20" s="304"/>
      <c r="AW20" s="299"/>
      <c r="AX20" s="304"/>
      <c r="AY20" s="304"/>
      <c r="AZ20" s="299"/>
      <c r="BA20" s="299"/>
      <c r="BB20" s="606"/>
      <c r="BC20" s="304"/>
      <c r="BD20" s="299"/>
      <c r="BE20" s="298"/>
      <c r="BF20" s="304"/>
      <c r="BG20" s="304"/>
      <c r="BH20" s="299"/>
      <c r="BI20" s="304"/>
      <c r="BJ20" s="304"/>
      <c r="BK20" s="304"/>
      <c r="BL20" s="304"/>
      <c r="BM20" s="304"/>
      <c r="BN20" s="304"/>
      <c r="BO20" s="304"/>
      <c r="BP20" s="606"/>
      <c r="BQ20" s="304"/>
      <c r="BR20" s="299"/>
      <c r="BS20" s="304"/>
      <c r="BT20" s="304"/>
      <c r="BU20" s="304"/>
      <c r="BV20" s="298"/>
      <c r="BW20" s="304"/>
      <c r="BX20" s="304"/>
      <c r="BY20" s="298"/>
      <c r="BZ20" s="160"/>
      <c r="CA20" s="161"/>
      <c r="CB20" s="160"/>
      <c r="CC20" s="160"/>
    </row>
    <row r="21" spans="1:83" s="573" customFormat="1" ht="22" customHeight="1">
      <c r="A21" s="19">
        <v>6</v>
      </c>
      <c r="B21" s="301">
        <v>16</v>
      </c>
      <c r="C21" s="817" t="s">
        <v>95</v>
      </c>
      <c r="D21" s="789"/>
      <c r="E21" s="804" t="s">
        <v>31</v>
      </c>
      <c r="F21" s="805"/>
      <c r="G21" s="70" t="s">
        <v>2</v>
      </c>
      <c r="H21" s="40" t="s">
        <v>2</v>
      </c>
      <c r="I21" s="611" t="s">
        <v>1</v>
      </c>
      <c r="J21" s="64" t="s">
        <v>1</v>
      </c>
      <c r="K21" s="609" t="s">
        <v>2</v>
      </c>
      <c r="L21" s="40" t="s">
        <v>2</v>
      </c>
      <c r="M21" s="40" t="s">
        <v>2</v>
      </c>
      <c r="N21" s="40" t="s">
        <v>2</v>
      </c>
      <c r="O21" s="610" t="s">
        <v>1</v>
      </c>
      <c r="P21" s="609" t="s">
        <v>2</v>
      </c>
      <c r="Q21" s="40" t="s">
        <v>1</v>
      </c>
      <c r="R21" s="40" t="s">
        <v>2</v>
      </c>
      <c r="S21" s="40" t="s">
        <v>2</v>
      </c>
      <c r="T21" s="57" t="s">
        <v>1</v>
      </c>
      <c r="U21" s="40" t="s">
        <v>2</v>
      </c>
      <c r="V21" s="40" t="s">
        <v>2</v>
      </c>
      <c r="W21" s="609" t="s">
        <v>2</v>
      </c>
      <c r="X21" s="68" t="s">
        <v>1</v>
      </c>
      <c r="Y21" s="285" t="s">
        <v>2</v>
      </c>
      <c r="Z21" s="40" t="s">
        <v>2</v>
      </c>
      <c r="AA21" s="40" t="s">
        <v>2</v>
      </c>
      <c r="AB21" s="57" t="s">
        <v>1</v>
      </c>
      <c r="AC21" s="40" t="s">
        <v>2</v>
      </c>
      <c r="AD21" s="608" t="s">
        <v>1</v>
      </c>
      <c r="AE21" s="64" t="s">
        <v>1</v>
      </c>
      <c r="AF21" s="40" t="s">
        <v>2</v>
      </c>
      <c r="AG21" s="40" t="s">
        <v>2</v>
      </c>
      <c r="AH21" s="40" t="s">
        <v>2</v>
      </c>
      <c r="AI21" s="57" t="s">
        <v>1</v>
      </c>
      <c r="AJ21" s="40" t="s">
        <v>2</v>
      </c>
      <c r="AK21" s="604" t="s">
        <v>1</v>
      </c>
      <c r="AL21" s="599">
        <f>COUNTIF(G21:AK21,"▲")</f>
        <v>0</v>
      </c>
      <c r="AM21" s="21">
        <f>COUNTIF(G21:AK21,"D")</f>
        <v>20</v>
      </c>
      <c r="AN21" s="22">
        <f>COUNTIF(G21:AK21,"●")</f>
        <v>11</v>
      </c>
      <c r="AO21" s="27">
        <f>AN21+AL21</f>
        <v>11</v>
      </c>
      <c r="AP21" s="607"/>
      <c r="AQ21" s="689"/>
      <c r="AR21" s="689"/>
      <c r="AS21" s="806"/>
      <c r="AT21" s="806"/>
      <c r="AU21" s="304"/>
      <c r="AV21" s="304"/>
      <c r="AW21" s="304"/>
      <c r="AX21" s="304"/>
      <c r="AY21" s="299"/>
      <c r="AZ21" s="299"/>
      <c r="BA21" s="304"/>
      <c r="BB21" s="298"/>
      <c r="BC21" s="304"/>
      <c r="BD21" s="304"/>
      <c r="BE21" s="489"/>
      <c r="BF21" s="299"/>
      <c r="BG21" s="298"/>
      <c r="BH21" s="304"/>
      <c r="BI21" s="304"/>
      <c r="BJ21" s="489"/>
      <c r="BK21" s="299"/>
      <c r="BL21" s="304"/>
      <c r="BM21" s="299"/>
      <c r="BN21" s="304"/>
      <c r="BO21" s="304"/>
      <c r="BP21" s="606"/>
      <c r="BQ21" s="304"/>
      <c r="BR21" s="304"/>
      <c r="BS21" s="304"/>
      <c r="BT21" s="299"/>
      <c r="BU21" s="298"/>
      <c r="BV21" s="304"/>
      <c r="BW21" s="298"/>
      <c r="BX21" s="304"/>
      <c r="BY21" s="605"/>
    </row>
    <row r="22" spans="1:83" ht="22" customHeight="1">
      <c r="A22" s="19"/>
      <c r="B22" s="301">
        <v>17</v>
      </c>
      <c r="C22" s="807" t="s">
        <v>114</v>
      </c>
      <c r="D22" s="808"/>
      <c r="E22" s="804" t="s">
        <v>31</v>
      </c>
      <c r="F22" s="805"/>
      <c r="G22" s="70" t="s">
        <v>2</v>
      </c>
      <c r="H22" s="40" t="s">
        <v>2</v>
      </c>
      <c r="I22" s="272" t="s">
        <v>1</v>
      </c>
      <c r="J22" s="64" t="s">
        <v>1</v>
      </c>
      <c r="K22" s="600" t="s">
        <v>2</v>
      </c>
      <c r="L22" s="40" t="s">
        <v>2</v>
      </c>
      <c r="M22" s="40" t="s">
        <v>2</v>
      </c>
      <c r="N22" s="40" t="s">
        <v>2</v>
      </c>
      <c r="O22" s="57" t="s">
        <v>1</v>
      </c>
      <c r="P22" s="57" t="s">
        <v>1</v>
      </c>
      <c r="Q22" s="40" t="s">
        <v>1</v>
      </c>
      <c r="R22" s="40" t="s">
        <v>2</v>
      </c>
      <c r="S22" s="604" t="s">
        <v>1</v>
      </c>
      <c r="T22" s="42" t="s">
        <v>2</v>
      </c>
      <c r="U22" s="40" t="s">
        <v>2</v>
      </c>
      <c r="V22" s="40" t="s">
        <v>2</v>
      </c>
      <c r="W22" s="57" t="s">
        <v>1</v>
      </c>
      <c r="X22" s="68" t="s">
        <v>1</v>
      </c>
      <c r="Y22" s="603" t="s">
        <v>1</v>
      </c>
      <c r="Z22" s="40" t="s">
        <v>2</v>
      </c>
      <c r="AA22" s="40" t="s">
        <v>2</v>
      </c>
      <c r="AB22" s="40" t="s">
        <v>2</v>
      </c>
      <c r="AC22" s="57" t="s">
        <v>1</v>
      </c>
      <c r="AD22" s="602" t="s">
        <v>2</v>
      </c>
      <c r="AE22" s="64" t="s">
        <v>1</v>
      </c>
      <c r="AF22" s="40" t="s">
        <v>2</v>
      </c>
      <c r="AG22" s="40" t="s">
        <v>2</v>
      </c>
      <c r="AH22" s="601" t="s">
        <v>0</v>
      </c>
      <c r="AI22" s="40" t="s">
        <v>2</v>
      </c>
      <c r="AJ22" s="40" t="s">
        <v>2</v>
      </c>
      <c r="AK22" s="600" t="s">
        <v>2</v>
      </c>
      <c r="AL22" s="599">
        <f>COUNTIF(G22:AK22,"▲")</f>
        <v>1</v>
      </c>
      <c r="AM22" s="21">
        <f>COUNTIF(G22:AK22,"D")</f>
        <v>19</v>
      </c>
      <c r="AN22" s="22">
        <f>COUNTIF(G22:AK22,"●")</f>
        <v>11</v>
      </c>
      <c r="AO22" s="27">
        <f>AN22+AL22</f>
        <v>12</v>
      </c>
      <c r="AP22" s="238"/>
      <c r="AR22" s="96"/>
      <c r="AS22" s="96"/>
    </row>
    <row r="23" spans="1:83" ht="22" customHeight="1" thickBot="1">
      <c r="A23" s="19"/>
      <c r="B23" s="54">
        <v>18</v>
      </c>
      <c r="C23" s="813" t="s">
        <v>200</v>
      </c>
      <c r="D23" s="814"/>
      <c r="E23" s="815" t="s">
        <v>31</v>
      </c>
      <c r="F23" s="816"/>
      <c r="G23" s="598" t="s">
        <v>0</v>
      </c>
      <c r="H23" s="321" t="s">
        <v>2</v>
      </c>
      <c r="I23" s="597" t="s">
        <v>2</v>
      </c>
      <c r="J23" s="102" t="s">
        <v>1</v>
      </c>
      <c r="K23" s="50" t="s">
        <v>1</v>
      </c>
      <c r="L23" s="43" t="s">
        <v>2</v>
      </c>
      <c r="M23" s="43" t="s">
        <v>2</v>
      </c>
      <c r="N23" s="43" t="s">
        <v>2</v>
      </c>
      <c r="O23" s="595" t="s">
        <v>2</v>
      </c>
      <c r="P23" s="50" t="s">
        <v>1</v>
      </c>
      <c r="Q23" s="43" t="s">
        <v>1</v>
      </c>
      <c r="R23" s="43" t="s">
        <v>2</v>
      </c>
      <c r="S23" s="43" t="s">
        <v>2</v>
      </c>
      <c r="T23" s="63" t="s">
        <v>2</v>
      </c>
      <c r="U23" s="596" t="s">
        <v>1</v>
      </c>
      <c r="V23" s="43" t="s">
        <v>2</v>
      </c>
      <c r="W23" s="50" t="s">
        <v>1</v>
      </c>
      <c r="X23" s="109" t="s">
        <v>1</v>
      </c>
      <c r="Y23" s="341" t="s">
        <v>2</v>
      </c>
      <c r="Z23" s="281" t="s">
        <v>1</v>
      </c>
      <c r="AA23" s="321" t="s">
        <v>2</v>
      </c>
      <c r="AB23" s="321" t="s">
        <v>2</v>
      </c>
      <c r="AC23" s="321" t="s">
        <v>2</v>
      </c>
      <c r="AD23" s="288" t="s">
        <v>1</v>
      </c>
      <c r="AE23" s="102" t="s">
        <v>1</v>
      </c>
      <c r="AF23" s="43" t="s">
        <v>2</v>
      </c>
      <c r="AG23" s="43" t="s">
        <v>2</v>
      </c>
      <c r="AH23" s="43" t="s">
        <v>2</v>
      </c>
      <c r="AI23" s="43" t="s">
        <v>2</v>
      </c>
      <c r="AJ23" s="50" t="s">
        <v>1</v>
      </c>
      <c r="AK23" s="595" t="s">
        <v>2</v>
      </c>
      <c r="AL23" s="594">
        <f>COUNTIF(G23:AK23,"▲")</f>
        <v>1</v>
      </c>
      <c r="AM23" s="21">
        <f>COUNTIF(G23:AK23,"D")</f>
        <v>19</v>
      </c>
      <c r="AN23" s="22">
        <f>COUNTIF(G23:AK23,"●")</f>
        <v>11</v>
      </c>
      <c r="AO23" s="27">
        <f>AN23+AL23</f>
        <v>12</v>
      </c>
      <c r="AP23" s="10"/>
      <c r="AR23" s="300"/>
      <c r="AS23" s="652"/>
      <c r="AT23" s="652"/>
      <c r="AU23" s="653"/>
      <c r="AV23" s="653"/>
      <c r="AW23" s="203"/>
      <c r="AX23" s="157"/>
      <c r="AY23" s="157"/>
      <c r="AZ23" s="298"/>
      <c r="BA23" s="157"/>
      <c r="BB23" s="156"/>
      <c r="BC23" s="157"/>
      <c r="BD23" s="157"/>
      <c r="BE23" s="157"/>
      <c r="BF23" s="204"/>
      <c r="BG23" s="157"/>
      <c r="BH23" s="157"/>
      <c r="BI23" s="298"/>
      <c r="BJ23" s="157"/>
      <c r="BK23" s="157"/>
      <c r="BL23" s="157"/>
      <c r="BM23" s="204"/>
      <c r="BN23" s="156"/>
      <c r="BO23" s="157"/>
      <c r="BP23" s="157"/>
      <c r="BQ23" s="157"/>
      <c r="BR23" s="203"/>
      <c r="BS23" s="157"/>
      <c r="BT23" s="157"/>
      <c r="BU23" s="158"/>
      <c r="BV23" s="157"/>
      <c r="BW23" s="299"/>
      <c r="BX23" s="157"/>
      <c r="BY23" s="157"/>
      <c r="BZ23" s="157"/>
      <c r="CA23" s="157"/>
      <c r="CB23" s="159"/>
      <c r="CC23" s="161"/>
      <c r="CD23" s="160"/>
      <c r="CE23" s="160"/>
    </row>
    <row r="24" spans="1:83" ht="22" customHeight="1">
      <c r="A24" s="19"/>
      <c r="B24" s="593">
        <v>19</v>
      </c>
      <c r="C24" s="809" t="s">
        <v>197</v>
      </c>
      <c r="D24" s="810"/>
      <c r="E24" s="811" t="s">
        <v>94</v>
      </c>
      <c r="F24" s="812"/>
      <c r="G24" s="592" t="s">
        <v>2</v>
      </c>
      <c r="H24" s="589" t="s">
        <v>2</v>
      </c>
      <c r="I24" s="104" t="s">
        <v>1</v>
      </c>
      <c r="J24" s="49" t="s">
        <v>1</v>
      </c>
      <c r="K24" s="104" t="s">
        <v>1</v>
      </c>
      <c r="L24" s="589" t="s">
        <v>2</v>
      </c>
      <c r="M24" s="589" t="s">
        <v>2</v>
      </c>
      <c r="N24" s="589" t="s">
        <v>2</v>
      </c>
      <c r="O24" s="104" t="s">
        <v>1</v>
      </c>
      <c r="P24" s="104" t="s">
        <v>1</v>
      </c>
      <c r="Q24" s="49" t="s">
        <v>1</v>
      </c>
      <c r="R24" s="589" t="s">
        <v>2</v>
      </c>
      <c r="S24" s="589" t="s">
        <v>2</v>
      </c>
      <c r="T24" s="591" t="s">
        <v>2</v>
      </c>
      <c r="U24" s="589" t="s">
        <v>2</v>
      </c>
      <c r="V24" s="590" t="s">
        <v>0</v>
      </c>
      <c r="W24" s="104" t="s">
        <v>1</v>
      </c>
      <c r="X24" s="49" t="s">
        <v>1</v>
      </c>
      <c r="Y24" s="589" t="s">
        <v>2</v>
      </c>
      <c r="Z24" s="589" t="s">
        <v>2</v>
      </c>
      <c r="AA24" s="589" t="s">
        <v>2</v>
      </c>
      <c r="AB24" s="589" t="s">
        <v>2</v>
      </c>
      <c r="AC24" s="589" t="s">
        <v>2</v>
      </c>
      <c r="AD24" s="104" t="s">
        <v>1</v>
      </c>
      <c r="AE24" s="49" t="s">
        <v>1</v>
      </c>
      <c r="AF24" s="589" t="s">
        <v>2</v>
      </c>
      <c r="AG24" s="589" t="s">
        <v>2</v>
      </c>
      <c r="AH24" s="589" t="s">
        <v>2</v>
      </c>
      <c r="AI24" s="589" t="s">
        <v>2</v>
      </c>
      <c r="AJ24" s="589" t="s">
        <v>2</v>
      </c>
      <c r="AK24" s="104" t="s">
        <v>1</v>
      </c>
      <c r="AL24" s="588">
        <f>COUNTIF(G24:AK24,"▲")</f>
        <v>1</v>
      </c>
      <c r="AM24" s="293">
        <f>COUNTIF(G24:AK24,"D")</f>
        <v>19</v>
      </c>
      <c r="AN24" s="294">
        <f>COUNTIF(G24:AK24,"●")</f>
        <v>11</v>
      </c>
      <c r="AO24" s="295">
        <f>AN24+AL24</f>
        <v>12</v>
      </c>
      <c r="AP24" s="10"/>
      <c r="AQ24" s="587"/>
      <c r="AR24" s="652"/>
      <c r="AS24" s="652"/>
      <c r="AT24" s="653"/>
      <c r="AU24" s="653"/>
      <c r="AV24" s="203"/>
      <c r="AW24" s="157"/>
      <c r="AX24" s="157"/>
      <c r="AY24" s="298"/>
      <c r="AZ24" s="157"/>
      <c r="BA24" s="156"/>
      <c r="BB24" s="157"/>
      <c r="BC24" s="203"/>
      <c r="BD24" s="157"/>
      <c r="BE24" s="204"/>
      <c r="BF24" s="298"/>
      <c r="BG24" s="157"/>
      <c r="BH24" s="158"/>
      <c r="BI24" s="157"/>
      <c r="BJ24" s="298"/>
      <c r="BK24" s="157"/>
      <c r="BL24" s="204"/>
      <c r="BM24" s="156"/>
      <c r="BN24" s="157"/>
      <c r="BO24" s="298"/>
      <c r="BP24" s="157"/>
      <c r="BQ24" s="156"/>
      <c r="BR24" s="157"/>
      <c r="BS24" s="157"/>
      <c r="BT24" s="156"/>
      <c r="BU24" s="157"/>
      <c r="BV24" s="299"/>
      <c r="BW24" s="157"/>
      <c r="BX24" s="203"/>
      <c r="BY24" s="157"/>
      <c r="BZ24" s="157"/>
      <c r="CA24" s="159"/>
      <c r="CB24" s="161"/>
      <c r="CC24" s="160"/>
      <c r="CD24" s="160"/>
    </row>
    <row r="25" spans="1:83" ht="17.25" customHeight="1">
      <c r="A25" s="659"/>
      <c r="B25" s="788" t="s">
        <v>3</v>
      </c>
      <c r="C25" s="788"/>
      <c r="D25" s="788"/>
      <c r="E25" s="788"/>
      <c r="F25" s="586" t="s">
        <v>2</v>
      </c>
      <c r="G25" s="585">
        <f>COUNTIF(G6:G24,"D")</f>
        <v>16</v>
      </c>
      <c r="H25" s="585">
        <f>COUNTIF(H6:H24,"D")</f>
        <v>16</v>
      </c>
      <c r="I25" s="585">
        <f>COUNTIF(I6:I24,"D")</f>
        <v>6</v>
      </c>
      <c r="J25" s="585">
        <f>COUNTIF(J6:J24,"D")</f>
        <v>0</v>
      </c>
      <c r="K25" s="585">
        <f>COUNTIF(K6:K24,"D")</f>
        <v>10</v>
      </c>
      <c r="L25" s="585">
        <f>COUNTIF(L6:L24,"D")</f>
        <v>19</v>
      </c>
      <c r="M25" s="585">
        <f>COUNTIF(M6:M24,"D")</f>
        <v>15</v>
      </c>
      <c r="N25" s="585">
        <f>COUNTIF(N6:N24,"D")</f>
        <v>16</v>
      </c>
      <c r="O25" s="585">
        <f>COUNTIF(O6:O24,"D")</f>
        <v>9</v>
      </c>
      <c r="P25" s="585">
        <f>COUNTIF(P6:P24,"D")</f>
        <v>6</v>
      </c>
      <c r="Q25" s="585">
        <f>COUNTIF(Q6:Q24,"D")</f>
        <v>0</v>
      </c>
      <c r="R25" s="585">
        <f>COUNTIF(R6:R24,"D")</f>
        <v>17</v>
      </c>
      <c r="S25" s="585">
        <f>COUNTIF(S6:S24,"D")</f>
        <v>15</v>
      </c>
      <c r="T25" s="585">
        <f>COUNTIF(T6:T24,"D")</f>
        <v>13</v>
      </c>
      <c r="U25" s="585">
        <f>COUNTIF(U6:U24,"D")</f>
        <v>15</v>
      </c>
      <c r="V25" s="585">
        <f>COUNTIF(V6:V24,"D")</f>
        <v>16</v>
      </c>
      <c r="W25" s="585">
        <f>COUNTIF(W6:W24,"D")</f>
        <v>6</v>
      </c>
      <c r="X25" s="585">
        <f>COUNTIF(X6:X24,"D")</f>
        <v>0</v>
      </c>
      <c r="Y25" s="585">
        <f>COUNTIF(Y6:Y24,"D")</f>
        <v>16</v>
      </c>
      <c r="Z25" s="585">
        <f>COUNTIF(Z6:Z24,"D")</f>
        <v>16</v>
      </c>
      <c r="AA25" s="585">
        <f>COUNTIF(AA6:AA24,"D")</f>
        <v>15</v>
      </c>
      <c r="AB25" s="585">
        <f>COUNTIF(AB6:AB24,"D")</f>
        <v>15</v>
      </c>
      <c r="AC25" s="585">
        <f>COUNTIF(AC6:AC24,"D")</f>
        <v>15</v>
      </c>
      <c r="AD25" s="585">
        <f>COUNTIF(AD6:AD24,"D")</f>
        <v>6</v>
      </c>
      <c r="AE25" s="585">
        <f>COUNTIF(AE6:AE24,"D")</f>
        <v>0</v>
      </c>
      <c r="AF25" s="585">
        <f>COUNTIF(AF6:AF24,"D")</f>
        <v>16</v>
      </c>
      <c r="AG25" s="585">
        <f>COUNTIF(AG6:AG24,"D")</f>
        <v>17</v>
      </c>
      <c r="AH25" s="585">
        <f>COUNTIF(AH6:AH24,"D")</f>
        <v>14</v>
      </c>
      <c r="AI25" s="585">
        <f>COUNTIF(AI6:AI24,"D")</f>
        <v>15</v>
      </c>
      <c r="AJ25" s="585">
        <f>COUNTIF(AJ6:AJ24,"D")</f>
        <v>16</v>
      </c>
      <c r="AK25" s="585">
        <f>COUNTIF(AK6:AK24,"D")</f>
        <v>6</v>
      </c>
      <c r="AL25" s="584">
        <f>COUNTIF(G25:AJ25,"▲")</f>
        <v>0</v>
      </c>
      <c r="AM25" s="337">
        <f>COUNTIF(G25:AK25,"D")</f>
        <v>0</v>
      </c>
      <c r="AN25" s="390">
        <f>COUNTIF(G25:AJ25,"●")</f>
        <v>0</v>
      </c>
      <c r="AO25" s="410">
        <f>AN25+AL25</f>
        <v>0</v>
      </c>
      <c r="AP25" s="10"/>
    </row>
    <row r="26" spans="1:83" ht="17.25" customHeight="1">
      <c r="A26" s="659"/>
      <c r="B26" s="789" t="s">
        <v>4</v>
      </c>
      <c r="C26" s="789"/>
      <c r="D26" s="789"/>
      <c r="E26" s="789"/>
      <c r="F26" s="583" t="s">
        <v>1</v>
      </c>
      <c r="G26" s="579">
        <f>COUNTIF(G6:G24,"●")</f>
        <v>1</v>
      </c>
      <c r="H26" s="579">
        <f>COUNTIF(H6:H24,"●")</f>
        <v>2</v>
      </c>
      <c r="I26" s="579">
        <f>COUNTIF(I6:I24,"●")</f>
        <v>13</v>
      </c>
      <c r="J26" s="579">
        <f>COUNTIF(J6:J24,"●")</f>
        <v>19</v>
      </c>
      <c r="K26" s="579">
        <f>COUNTIF(K6:K24,"●")</f>
        <v>9</v>
      </c>
      <c r="L26" s="579">
        <f>COUNTIF(L6:L24,"●")</f>
        <v>0</v>
      </c>
      <c r="M26" s="579">
        <f>COUNTIF(M6:M24,"●")</f>
        <v>4</v>
      </c>
      <c r="N26" s="579">
        <f>COUNTIF(N6:N24,"●")</f>
        <v>1</v>
      </c>
      <c r="O26" s="579">
        <f>COUNTIF(O6:O24,"●")</f>
        <v>10</v>
      </c>
      <c r="P26" s="579">
        <f>COUNTIF(P6:P24,"●")</f>
        <v>13</v>
      </c>
      <c r="Q26" s="579">
        <f>COUNTIF(Q6:Q24,"●")</f>
        <v>19</v>
      </c>
      <c r="R26" s="579">
        <f>COUNTIF(R6:R24,"●")</f>
        <v>2</v>
      </c>
      <c r="S26" s="579">
        <f>COUNTIF(S6:S24,"●")</f>
        <v>3</v>
      </c>
      <c r="T26" s="579">
        <f>COUNTIF(T6:T24,"●")</f>
        <v>4</v>
      </c>
      <c r="U26" s="579">
        <f>COUNTIF(U6:U24,"●")</f>
        <v>3</v>
      </c>
      <c r="V26" s="579">
        <f>COUNTIF(V6:V24,"●")</f>
        <v>1</v>
      </c>
      <c r="W26" s="579">
        <f>COUNTIF(W6:W24,"●")</f>
        <v>12</v>
      </c>
      <c r="X26" s="579">
        <f>COUNTIF(X6:X24,"●")</f>
        <v>19</v>
      </c>
      <c r="Y26" s="579">
        <f>COUNTIF(Y6:Y24,"●")</f>
        <v>2</v>
      </c>
      <c r="Z26" s="579">
        <f>COUNTIF(Z6:Z24,"●")</f>
        <v>3</v>
      </c>
      <c r="AA26" s="579">
        <f>COUNTIF(AA6:AA24,"●")</f>
        <v>4</v>
      </c>
      <c r="AB26" s="579">
        <f>COUNTIF(AB6:AB24,"●")</f>
        <v>3</v>
      </c>
      <c r="AC26" s="579">
        <f>COUNTIF(AC6:AC24,"●")</f>
        <v>4</v>
      </c>
      <c r="AD26" s="579">
        <f>COUNTIF(AD6:AD24,"●")</f>
        <v>12</v>
      </c>
      <c r="AE26" s="579">
        <f>COUNTIF(AE6:AE24,"●")</f>
        <v>19</v>
      </c>
      <c r="AF26" s="579">
        <f>COUNTIF(AF6:AF24,"●")</f>
        <v>2</v>
      </c>
      <c r="AG26" s="579">
        <f>COUNTIF(AG6:AG24,"●")</f>
        <v>1</v>
      </c>
      <c r="AH26" s="579">
        <f>COUNTIF(AH6:AH24,"●")</f>
        <v>2</v>
      </c>
      <c r="AI26" s="579">
        <f>COUNTIF(AI6:AI24,"●")</f>
        <v>4</v>
      </c>
      <c r="AJ26" s="579">
        <f>COUNTIF(AJ6:AJ24,"●")</f>
        <v>3</v>
      </c>
      <c r="AK26" s="579">
        <f>COUNTIF(AK6:AK24,"●")</f>
        <v>13</v>
      </c>
      <c r="AL26" s="790" t="s">
        <v>637</v>
      </c>
      <c r="AM26" s="791"/>
      <c r="AN26" s="791"/>
      <c r="AO26" s="792"/>
      <c r="AP26" s="10"/>
    </row>
    <row r="27" spans="1:83" ht="17.25" customHeight="1">
      <c r="A27" s="669"/>
      <c r="B27" s="789" t="s">
        <v>5</v>
      </c>
      <c r="C27" s="789"/>
      <c r="D27" s="789"/>
      <c r="E27" s="789"/>
      <c r="F27" s="116" t="s">
        <v>0</v>
      </c>
      <c r="G27" s="579">
        <f>COUNTIF(G6:G24,"▲")</f>
        <v>2</v>
      </c>
      <c r="H27" s="579">
        <f>COUNTIF(H6:H24,"▲")</f>
        <v>0</v>
      </c>
      <c r="I27" s="579">
        <f>COUNTIF(I6:I24,"▲")</f>
        <v>0</v>
      </c>
      <c r="J27" s="579">
        <f>COUNTIF(J6:J24,"▲")</f>
        <v>0</v>
      </c>
      <c r="K27" s="579">
        <f>COUNTIF(K6:K24,"▲")</f>
        <v>0</v>
      </c>
      <c r="L27" s="579">
        <f>COUNTIF(L6:L24,"▲")</f>
        <v>0</v>
      </c>
      <c r="M27" s="579">
        <f>COUNTIF(M6:M24,"▲")</f>
        <v>0</v>
      </c>
      <c r="N27" s="579">
        <f>COUNTIF(N6:N24,"▲")</f>
        <v>2</v>
      </c>
      <c r="O27" s="579">
        <f>COUNTIF(O6:O24,"▲")</f>
        <v>0</v>
      </c>
      <c r="P27" s="579">
        <f>COUNTIF(P6:P24,"▲")</f>
        <v>0</v>
      </c>
      <c r="Q27" s="579">
        <f>COUNTIF(Q6:Q24,"▲")</f>
        <v>0</v>
      </c>
      <c r="R27" s="579">
        <f>COUNTIF(R6:R24,"▲")</f>
        <v>0</v>
      </c>
      <c r="S27" s="579">
        <f>COUNTIF(S6:S24,"▲")</f>
        <v>1</v>
      </c>
      <c r="T27" s="579">
        <f>COUNTIF(T6:T24,"▲")</f>
        <v>0</v>
      </c>
      <c r="U27" s="579">
        <f>COUNTIF(U6:U24,"▲")</f>
        <v>1</v>
      </c>
      <c r="V27" s="579">
        <f>COUNTIF(V6:V24,"▲")</f>
        <v>2</v>
      </c>
      <c r="W27" s="579">
        <f>COUNTIF(W6:W24,"▲")</f>
        <v>1</v>
      </c>
      <c r="X27" s="579">
        <f>COUNTIF(X6:X24,"▲")</f>
        <v>0</v>
      </c>
      <c r="Y27" s="579">
        <f>COUNTIF(Y6:Y24,"▲")</f>
        <v>1</v>
      </c>
      <c r="Z27" s="579">
        <f>COUNTIF(Z6:Z24,"▲")</f>
        <v>0</v>
      </c>
      <c r="AA27" s="579">
        <f>COUNTIF(AA6:AA24,"▲")</f>
        <v>0</v>
      </c>
      <c r="AB27" s="579">
        <f>COUNTIF(AB6:AB24,"▲")</f>
        <v>0</v>
      </c>
      <c r="AC27" s="579">
        <f>COUNTIF(AC6:AC24,"▲")</f>
        <v>0</v>
      </c>
      <c r="AD27" s="579">
        <f>COUNTIF(AD6:AD24,"▲")</f>
        <v>0</v>
      </c>
      <c r="AE27" s="579">
        <f>COUNTIF(AE6:AE24,"▲")</f>
        <v>0</v>
      </c>
      <c r="AF27" s="579">
        <f>COUNTIF(AF6:AF24,"▲")</f>
        <v>0</v>
      </c>
      <c r="AG27" s="579">
        <f>COUNTIF(AG6:AG24,"▲")</f>
        <v>0</v>
      </c>
      <c r="AH27" s="579">
        <f>COUNTIF(AH6:AH24,"▲")</f>
        <v>2</v>
      </c>
      <c r="AI27" s="579">
        <f>COUNTIF(AI6:AI24,"▲")</f>
        <v>0</v>
      </c>
      <c r="AJ27" s="579">
        <f>COUNTIF(AJ6:AJ24,"▲")</f>
        <v>0</v>
      </c>
      <c r="AK27" s="579">
        <f>COUNTIF(AK6:AK24,"▲")</f>
        <v>0</v>
      </c>
      <c r="AL27" s="582" t="s">
        <v>19</v>
      </c>
      <c r="AM27" s="574" t="s">
        <v>17</v>
      </c>
      <c r="AN27" s="581" t="s">
        <v>20</v>
      </c>
      <c r="AO27" s="580" t="s">
        <v>18</v>
      </c>
      <c r="AP27" s="10"/>
    </row>
    <row r="28" spans="1:83" ht="17.25" customHeight="1">
      <c r="A28" s="669"/>
      <c r="B28" s="795" t="s">
        <v>636</v>
      </c>
      <c r="C28" s="795"/>
      <c r="D28" s="795"/>
      <c r="E28" s="795"/>
      <c r="F28" s="116"/>
      <c r="G28" s="579">
        <v>0</v>
      </c>
      <c r="H28" s="579">
        <v>1</v>
      </c>
      <c r="I28" s="579">
        <v>0</v>
      </c>
      <c r="J28" s="579">
        <v>0</v>
      </c>
      <c r="K28" s="579">
        <v>0</v>
      </c>
      <c r="L28" s="579">
        <v>0</v>
      </c>
      <c r="M28" s="579">
        <v>0</v>
      </c>
      <c r="N28" s="579">
        <v>0</v>
      </c>
      <c r="O28" s="579">
        <v>0</v>
      </c>
      <c r="P28" s="579">
        <v>0</v>
      </c>
      <c r="Q28" s="579">
        <v>0</v>
      </c>
      <c r="R28" s="579">
        <v>0</v>
      </c>
      <c r="S28" s="579">
        <v>0</v>
      </c>
      <c r="T28" s="579">
        <v>2</v>
      </c>
      <c r="U28" s="579">
        <v>0</v>
      </c>
      <c r="V28" s="579">
        <v>0</v>
      </c>
      <c r="W28" s="579">
        <v>0</v>
      </c>
      <c r="X28" s="579">
        <v>0</v>
      </c>
      <c r="Y28" s="579">
        <v>0</v>
      </c>
      <c r="Z28" s="579">
        <v>0</v>
      </c>
      <c r="AA28" s="579">
        <v>0</v>
      </c>
      <c r="AB28" s="579">
        <v>1</v>
      </c>
      <c r="AC28" s="579">
        <v>0</v>
      </c>
      <c r="AD28" s="579">
        <v>1</v>
      </c>
      <c r="AE28" s="579">
        <v>0</v>
      </c>
      <c r="AF28" s="579">
        <v>1</v>
      </c>
      <c r="AG28" s="579">
        <v>1</v>
      </c>
      <c r="AH28" s="579">
        <v>1</v>
      </c>
      <c r="AI28" s="579">
        <v>1</v>
      </c>
      <c r="AJ28" s="579">
        <v>0</v>
      </c>
      <c r="AK28" s="579">
        <v>0</v>
      </c>
      <c r="AL28" s="796"/>
      <c r="AM28" s="798" t="s">
        <v>635</v>
      </c>
      <c r="AN28" s="799"/>
      <c r="AO28" s="800"/>
      <c r="AP28" s="10"/>
    </row>
    <row r="29" spans="1:83" ht="22.5" customHeight="1">
      <c r="A29" s="669"/>
      <c r="B29" s="789" t="s">
        <v>634</v>
      </c>
      <c r="C29" s="789"/>
      <c r="D29" s="789"/>
      <c r="E29" s="789"/>
      <c r="F29" s="578" t="s">
        <v>0</v>
      </c>
      <c r="G29" s="794" t="s">
        <v>633</v>
      </c>
      <c r="H29" s="794"/>
      <c r="I29" s="794"/>
      <c r="J29" s="116" t="s">
        <v>0</v>
      </c>
      <c r="K29" s="794" t="s">
        <v>5</v>
      </c>
      <c r="L29" s="794"/>
      <c r="M29" s="577" t="s">
        <v>632</v>
      </c>
      <c r="N29" s="787" t="s">
        <v>631</v>
      </c>
      <c r="O29" s="787"/>
      <c r="P29" s="787"/>
      <c r="Q29" s="576" t="s">
        <v>630</v>
      </c>
      <c r="R29" s="787" t="s">
        <v>629</v>
      </c>
      <c r="S29" s="787"/>
      <c r="T29" s="787"/>
      <c r="U29" s="106" t="s">
        <v>1</v>
      </c>
      <c r="V29" s="793" t="s">
        <v>175</v>
      </c>
      <c r="W29" s="793"/>
      <c r="X29" s="793"/>
      <c r="Y29" s="57" t="s">
        <v>1</v>
      </c>
      <c r="Z29" s="794" t="s">
        <v>4</v>
      </c>
      <c r="AA29" s="794"/>
      <c r="AB29" s="575" t="s">
        <v>628</v>
      </c>
      <c r="AC29" s="787" t="s">
        <v>627</v>
      </c>
      <c r="AD29" s="787"/>
      <c r="AE29" s="787"/>
      <c r="AF29" s="575" t="s">
        <v>626</v>
      </c>
      <c r="AG29" s="787" t="s">
        <v>625</v>
      </c>
      <c r="AH29" s="787"/>
      <c r="AI29" s="787"/>
      <c r="AJ29" s="574"/>
      <c r="AK29" s="574" t="s">
        <v>624</v>
      </c>
      <c r="AL29" s="797"/>
      <c r="AM29" s="801"/>
      <c r="AN29" s="802"/>
      <c r="AO29" s="803"/>
      <c r="AP29" s="10"/>
    </row>
    <row r="30" spans="1:83" s="11" customFormat="1">
      <c r="A30" s="1"/>
      <c r="B30" s="1"/>
      <c r="C30" s="1"/>
      <c r="D30" s="1"/>
      <c r="E30" s="1"/>
      <c r="F30" s="1"/>
      <c r="G30"/>
      <c r="H30" s="1"/>
      <c r="I30" s="1"/>
      <c r="J30" s="8"/>
      <c r="K30" s="8"/>
      <c r="L30" s="1"/>
      <c r="M30" t="s">
        <v>27</v>
      </c>
      <c r="N30" s="1"/>
      <c r="O30" s="573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7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9"/>
      <c r="AP30" s="12"/>
      <c r="AQ30" s="1"/>
      <c r="AR30" s="1"/>
      <c r="AS30" s="1"/>
      <c r="AT30" s="1"/>
    </row>
    <row r="31" spans="1:83" s="11" customFormat="1">
      <c r="A31" s="1"/>
      <c r="B31" s="1"/>
      <c r="C31" s="1"/>
      <c r="D31" s="1"/>
      <c r="E31" s="1"/>
      <c r="F31" s="1"/>
      <c r="G31"/>
      <c r="H31" s="1"/>
      <c r="I31" s="1"/>
      <c r="J31" s="8"/>
      <c r="K31" s="8"/>
      <c r="L31" s="1"/>
      <c r="M31" s="1"/>
      <c r="N31" s="1"/>
      <c r="O31" s="573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7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9"/>
      <c r="AP31" s="12"/>
      <c r="AQ31" s="1"/>
      <c r="AR31" s="1"/>
      <c r="AS31" s="1"/>
      <c r="AT31" s="1"/>
    </row>
    <row r="32" spans="1:83" s="11" customFormat="1">
      <c r="A32" s="1"/>
      <c r="B32" s="1"/>
      <c r="C32" s="1"/>
      <c r="D32" s="1"/>
      <c r="E32" s="1"/>
      <c r="F32" s="1"/>
      <c r="G32">
        <f>SUM(G25:G28)</f>
        <v>19</v>
      </c>
      <c r="H32">
        <f>SUM(H25:H28)</f>
        <v>19</v>
      </c>
      <c r="I32">
        <f>SUM(I25:I28)</f>
        <v>19</v>
      </c>
      <c r="J32">
        <f>SUM(J25:J28)</f>
        <v>19</v>
      </c>
      <c r="K32">
        <f>SUM(K25:K28)</f>
        <v>19</v>
      </c>
      <c r="L32">
        <f>SUM(L25:L28)</f>
        <v>19</v>
      </c>
      <c r="M32">
        <f>SUM(M25:M28)</f>
        <v>19</v>
      </c>
      <c r="N32">
        <f>SUM(N25:N28)</f>
        <v>19</v>
      </c>
      <c r="O32">
        <f>SUM(O25:O28)</f>
        <v>19</v>
      </c>
      <c r="P32">
        <f>SUM(P25:P28)</f>
        <v>19</v>
      </c>
      <c r="Q32">
        <f>SUM(Q25:Q28)</f>
        <v>19</v>
      </c>
      <c r="R32">
        <f>SUM(R25:R28)</f>
        <v>19</v>
      </c>
      <c r="S32">
        <f>SUM(S25:S28)</f>
        <v>19</v>
      </c>
      <c r="T32">
        <f>SUM(T25:T28)</f>
        <v>19</v>
      </c>
      <c r="U32">
        <f>SUM(U25:U28)</f>
        <v>19</v>
      </c>
      <c r="V32">
        <f>SUM(V25:V28)</f>
        <v>19</v>
      </c>
      <c r="W32">
        <f>SUM(W25:W28)</f>
        <v>19</v>
      </c>
      <c r="X32">
        <f>SUM(X25:X28)</f>
        <v>19</v>
      </c>
      <c r="Y32">
        <f>SUM(Y25:Y28)</f>
        <v>19</v>
      </c>
      <c r="Z32">
        <f>SUM(Z25:Z28)</f>
        <v>19</v>
      </c>
      <c r="AA32">
        <f>SUM(AA25:AA28)</f>
        <v>19</v>
      </c>
      <c r="AB32">
        <f>SUM(AB25:AB28)</f>
        <v>19</v>
      </c>
      <c r="AC32">
        <f>SUM(AC25:AC28)</f>
        <v>19</v>
      </c>
      <c r="AD32">
        <f>SUM(AD25:AD28)</f>
        <v>19</v>
      </c>
      <c r="AE32">
        <f>SUM(AE25:AE28)</f>
        <v>19</v>
      </c>
      <c r="AF32">
        <f>SUM(AF25:AF28)</f>
        <v>19</v>
      </c>
      <c r="AG32">
        <f>SUM(AG25:AG28)</f>
        <v>19</v>
      </c>
      <c r="AH32">
        <f>SUM(AH25:AH28)</f>
        <v>19</v>
      </c>
      <c r="AI32">
        <f>SUM(AI25:AI28)</f>
        <v>20</v>
      </c>
      <c r="AJ32">
        <f>SUM(AJ25:AJ28)</f>
        <v>19</v>
      </c>
      <c r="AK32">
        <f>SUM(AK25:AK28)</f>
        <v>19</v>
      </c>
      <c r="AL32" s="1"/>
      <c r="AM32" s="1"/>
      <c r="AN32" s="9"/>
      <c r="AP32" s="12"/>
      <c r="AQ32" s="1"/>
      <c r="AR32" s="1"/>
      <c r="AS32" s="1"/>
      <c r="AT32" s="1"/>
    </row>
    <row r="33" spans="1:46" s="11" customFormat="1">
      <c r="A33" s="1"/>
      <c r="B33" s="1"/>
      <c r="C33" s="1"/>
      <c r="D33" s="1"/>
      <c r="E33" s="1"/>
      <c r="F33" s="1"/>
      <c r="G33"/>
      <c r="H33" s="1"/>
      <c r="I33" s="1"/>
      <c r="J33" s="8"/>
      <c r="K33" s="8"/>
      <c r="L33" s="1"/>
      <c r="M33" s="1"/>
      <c r="N33" s="1"/>
      <c r="O33" s="573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7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9"/>
      <c r="AP33" s="12"/>
      <c r="AQ33" s="1"/>
      <c r="AR33" s="1"/>
      <c r="AS33" s="1"/>
      <c r="AT33" s="1"/>
    </row>
    <row r="34" spans="1:46" s="11" customFormat="1">
      <c r="A34" s="1"/>
      <c r="B34" s="1"/>
      <c r="C34" s="1"/>
      <c r="D34" s="1"/>
      <c r="E34" s="1"/>
      <c r="F34" s="1"/>
      <c r="G34"/>
      <c r="H34" s="1"/>
      <c r="I34" s="1"/>
      <c r="J34" s="8"/>
      <c r="K34" s="8"/>
      <c r="L34" s="1"/>
      <c r="M34" s="1"/>
      <c r="N34" s="1"/>
      <c r="O34" s="573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7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9"/>
      <c r="AP34" s="12"/>
      <c r="AQ34" s="1"/>
      <c r="AR34" s="1"/>
      <c r="AS34" s="1"/>
      <c r="AT34" s="1"/>
    </row>
    <row r="35" spans="1:46" s="11" customFormat="1">
      <c r="A35" s="1"/>
      <c r="B35" s="1"/>
      <c r="C35" s="1"/>
      <c r="D35" s="1"/>
      <c r="E35" s="1"/>
      <c r="F35" s="1"/>
      <c r="G35"/>
      <c r="H35" s="1"/>
      <c r="I35" s="1"/>
      <c r="J35" s="8"/>
      <c r="K35" s="8"/>
      <c r="L35" s="1"/>
      <c r="M35" s="1"/>
      <c r="N35" s="1"/>
      <c r="O35" s="573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7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9"/>
      <c r="AP35" s="12"/>
      <c r="AQ35" s="1"/>
      <c r="AR35" s="1"/>
      <c r="AS35" s="1"/>
      <c r="AT35" s="1"/>
    </row>
    <row r="36" spans="1:46" s="11" customFormat="1">
      <c r="A36" s="1"/>
      <c r="B36" s="1"/>
      <c r="C36" s="1"/>
      <c r="D36" s="1"/>
      <c r="E36" s="1"/>
      <c r="F36" s="1"/>
      <c r="G36"/>
      <c r="H36" s="1"/>
      <c r="I36" s="1"/>
      <c r="J36" s="8"/>
      <c r="K36" s="8"/>
      <c r="L36" s="1"/>
      <c r="M36" s="1"/>
      <c r="N36" s="1"/>
      <c r="O36" s="57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7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9"/>
      <c r="AP36" s="12"/>
      <c r="AQ36" s="1"/>
      <c r="AR36" s="1"/>
      <c r="AS36" s="1"/>
      <c r="AT36" s="1"/>
    </row>
    <row r="37" spans="1:46" s="11" customFormat="1">
      <c r="A37" s="1"/>
      <c r="B37" s="1"/>
      <c r="C37" s="1"/>
      <c r="D37" s="1"/>
      <c r="E37" s="1"/>
      <c r="F37" s="1"/>
      <c r="G37"/>
      <c r="H37" s="1"/>
      <c r="I37" s="1"/>
      <c r="J37" s="8"/>
      <c r="K37" s="8"/>
      <c r="L37" s="1"/>
      <c r="M37" s="1"/>
      <c r="N37" s="1"/>
      <c r="O37" s="573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7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9"/>
      <c r="AP37" s="12"/>
      <c r="AQ37" s="1"/>
      <c r="AR37" s="1"/>
      <c r="AS37" s="1"/>
      <c r="AT37" s="1"/>
    </row>
    <row r="38" spans="1:46" s="11" customFormat="1">
      <c r="A38" s="1"/>
      <c r="B38" s="1"/>
      <c r="C38" s="1"/>
      <c r="D38" s="1"/>
      <c r="E38" s="1"/>
      <c r="F38" s="1"/>
      <c r="G38"/>
      <c r="H38" s="1"/>
      <c r="I38" s="1"/>
      <c r="J38" s="8"/>
      <c r="K38" s="8"/>
      <c r="L38" s="1"/>
      <c r="M38" s="1"/>
      <c r="N38" s="1"/>
      <c r="O38" s="573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7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9"/>
      <c r="AP38" s="12"/>
      <c r="AQ38" s="1"/>
      <c r="AR38" s="1"/>
      <c r="AS38" s="1"/>
      <c r="AT38" s="1"/>
    </row>
    <row r="39" spans="1:46" s="11" customFormat="1">
      <c r="A39" s="1"/>
      <c r="B39" s="1"/>
      <c r="C39" s="1"/>
      <c r="D39" s="1"/>
      <c r="E39" s="1"/>
      <c r="F39" s="1"/>
      <c r="G39"/>
      <c r="H39" s="1"/>
      <c r="I39" s="1"/>
      <c r="J39" s="8"/>
      <c r="K39" s="8"/>
      <c r="L39" s="1"/>
      <c r="M39" s="1"/>
      <c r="N39" s="1"/>
      <c r="O39" s="573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7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9"/>
      <c r="AP39" s="12"/>
      <c r="AQ39" s="1"/>
      <c r="AR39" s="1"/>
      <c r="AS39" s="1"/>
      <c r="AT39" s="1"/>
    </row>
    <row r="40" spans="1:46" s="11" customFormat="1">
      <c r="A40" s="1"/>
      <c r="B40" s="1"/>
      <c r="C40" s="1"/>
      <c r="D40" s="1"/>
      <c r="E40" s="1"/>
      <c r="F40" s="1"/>
      <c r="G40"/>
      <c r="H40" s="1"/>
      <c r="I40" s="1"/>
      <c r="J40" s="8"/>
      <c r="K40" s="8"/>
      <c r="L40" s="1"/>
      <c r="M40" s="1"/>
      <c r="N40" s="1"/>
      <c r="O40" s="573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7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9"/>
      <c r="AP40" s="12"/>
      <c r="AQ40" s="1"/>
      <c r="AR40" s="1"/>
      <c r="AS40" s="1"/>
      <c r="AT40" s="1"/>
    </row>
    <row r="41" spans="1:46" s="11" customFormat="1">
      <c r="A41" s="1"/>
      <c r="B41" s="1"/>
      <c r="C41" s="1"/>
      <c r="D41" s="1"/>
      <c r="E41" s="1"/>
      <c r="F41" s="1"/>
      <c r="G41"/>
      <c r="H41" s="1"/>
      <c r="I41" s="1"/>
      <c r="J41" s="8"/>
      <c r="K41" s="8"/>
      <c r="L41" s="1"/>
      <c r="M41" s="1"/>
      <c r="N41" s="1"/>
      <c r="O41" s="573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7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9"/>
      <c r="AP41" s="12"/>
      <c r="AQ41" s="1"/>
      <c r="AR41" s="1"/>
      <c r="AS41" s="1"/>
      <c r="AT41" s="1"/>
    </row>
    <row r="42" spans="1:46" s="11" customFormat="1">
      <c r="A42" s="1"/>
      <c r="B42" s="1"/>
      <c r="C42" s="1"/>
      <c r="D42" s="1"/>
      <c r="E42" s="1"/>
      <c r="F42" s="1"/>
      <c r="G42"/>
      <c r="H42" s="1"/>
      <c r="I42" s="1"/>
      <c r="J42" s="8"/>
      <c r="K42" s="8"/>
      <c r="L42" s="1"/>
      <c r="M42" s="1"/>
      <c r="N42" s="1"/>
      <c r="O42" s="573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7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9"/>
      <c r="AP42" s="12"/>
      <c r="AQ42" s="1"/>
      <c r="AR42" s="1"/>
      <c r="AS42" s="1"/>
      <c r="AT42" s="1"/>
    </row>
    <row r="43" spans="1:46">
      <c r="Y43" s="1"/>
      <c r="AD43" s="1"/>
    </row>
    <row r="44" spans="1:46" ht="40">
      <c r="R44" s="125"/>
      <c r="Y44" s="1"/>
      <c r="AD44" s="1"/>
    </row>
    <row r="45" spans="1:46">
      <c r="Y45" s="1"/>
      <c r="AD45" s="1"/>
    </row>
    <row r="46" spans="1:46">
      <c r="Y46" s="1"/>
      <c r="AD46" s="1"/>
    </row>
    <row r="47" spans="1:46">
      <c r="Y47" s="1"/>
      <c r="AD47" s="1"/>
    </row>
    <row r="48" spans="1:46"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J57" s="543">
        <v>0.69791666666666663</v>
      </c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F108" s="527">
        <v>0.36249999999999999</v>
      </c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</sheetData>
  <mergeCells count="80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U23:AV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AR24:AS24"/>
    <mergeCell ref="AT24:AU24"/>
    <mergeCell ref="A25:A26"/>
    <mergeCell ref="B25:E25"/>
    <mergeCell ref="B26:E26"/>
    <mergeCell ref="AL26:AO26"/>
    <mergeCell ref="V29:X29"/>
    <mergeCell ref="Z29:AA29"/>
    <mergeCell ref="AC29:AE29"/>
    <mergeCell ref="AG29:AI29"/>
    <mergeCell ref="C24:D24"/>
    <mergeCell ref="E24:F24"/>
    <mergeCell ref="A27:A29"/>
    <mergeCell ref="B27:E27"/>
    <mergeCell ref="B28:E28"/>
    <mergeCell ref="AL28:AL29"/>
    <mergeCell ref="AM28:AO29"/>
    <mergeCell ref="B29:E29"/>
    <mergeCell ref="G29:I29"/>
    <mergeCell ref="K29:L29"/>
    <mergeCell ref="N29:P29"/>
    <mergeCell ref="R29:T29"/>
  </mergeCells>
  <phoneticPr fontId="2" type="noConversion"/>
  <conditionalFormatting sqref="AL6:AL25">
    <cfRule type="cellIs" dxfId="11" priority="1" operator="equal">
      <formula>8</formula>
    </cfRule>
    <cfRule type="cellIs" dxfId="10" priority="2" operator="equal">
      <formula>0</formula>
    </cfRule>
  </conditionalFormatting>
  <conditionalFormatting sqref="BZ16:BZ17">
    <cfRule type="cellIs" dxfId="9" priority="11" operator="equal">
      <formula>8</formula>
    </cfRule>
    <cfRule type="cellIs" dxfId="8" priority="12" operator="equal">
      <formula>0</formula>
    </cfRule>
  </conditionalFormatting>
  <conditionalFormatting sqref="BZ19:BZ20">
    <cfRule type="cellIs" dxfId="7" priority="7" operator="equal">
      <formula>8</formula>
    </cfRule>
    <cfRule type="cellIs" dxfId="6" priority="8" operator="equal">
      <formula>0</formula>
    </cfRule>
  </conditionalFormatting>
  <conditionalFormatting sqref="CA18">
    <cfRule type="cellIs" dxfId="5" priority="3" operator="equal">
      <formula>8</formula>
    </cfRule>
    <cfRule type="cellIs" dxfId="4" priority="4" operator="equal">
      <formula>0</formula>
    </cfRule>
  </conditionalFormatting>
  <conditionalFormatting sqref="CA24">
    <cfRule type="cellIs" dxfId="3" priority="5" operator="equal">
      <formula>8</formula>
    </cfRule>
    <cfRule type="cellIs" dxfId="2" priority="6" operator="equal">
      <formula>0</formula>
    </cfRule>
  </conditionalFormatting>
  <conditionalFormatting sqref="CB23">
    <cfRule type="cellIs" dxfId="1" priority="9" operator="equal">
      <formula>8</formula>
    </cfRule>
    <cfRule type="cellIs" dxfId="0" priority="10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15</vt:i4>
      </vt:variant>
    </vt:vector>
  </HeadingPairs>
  <TitlesOfParts>
    <vt:vector size="30" baseType="lpstr">
      <vt:lpstr>25년 9월</vt:lpstr>
      <vt:lpstr>25년 10월</vt:lpstr>
      <vt:lpstr>25년 10월 </vt:lpstr>
      <vt:lpstr>25년 11월</vt:lpstr>
      <vt:lpstr>25년 12월</vt:lpstr>
      <vt:lpstr>26년 1월</vt:lpstr>
      <vt:lpstr>26년 2월</vt:lpstr>
      <vt:lpstr>26년 3월</vt:lpstr>
      <vt:lpstr>26년 4월</vt:lpstr>
      <vt:lpstr>26년 5월</vt:lpstr>
      <vt:lpstr>26년 6월</vt:lpstr>
      <vt:lpstr>26년 7월</vt:lpstr>
      <vt:lpstr>26년 8월</vt:lpstr>
      <vt:lpstr>26년 9월</vt:lpstr>
      <vt:lpstr>26년10월</vt:lpstr>
      <vt:lpstr>'25년 10월'!Print_Area</vt:lpstr>
      <vt:lpstr>'25년 10월 '!Print_Area</vt:lpstr>
      <vt:lpstr>'25년 11월'!Print_Area</vt:lpstr>
      <vt:lpstr>'25년 12월'!Print_Area</vt:lpstr>
      <vt:lpstr>'25년 9월'!Print_Area</vt:lpstr>
      <vt:lpstr>'26년 1월'!Print_Area</vt:lpstr>
      <vt:lpstr>'26년 2월'!Print_Area</vt:lpstr>
      <vt:lpstr>'26년 3월'!Print_Area</vt:lpstr>
      <vt:lpstr>'26년 4월'!Print_Area</vt:lpstr>
      <vt:lpstr>'26년 5월'!Print_Area</vt:lpstr>
      <vt:lpstr>'26년 6월'!Print_Area</vt:lpstr>
      <vt:lpstr>'26년 7월'!Print_Area</vt:lpstr>
      <vt:lpstr>'26년 8월'!Print_Area</vt:lpstr>
      <vt:lpstr>'26년 9월'!Print_Area</vt:lpstr>
      <vt:lpstr>'26년10월'!Print_Area</vt:lpstr>
    </vt:vector>
  </TitlesOfParts>
  <Company>Portable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夜來香</dc:creator>
  <cp:lastModifiedBy>a10018</cp:lastModifiedBy>
  <cp:lastPrinted>2026-06-02T01:25:03Z</cp:lastPrinted>
  <dcterms:created xsi:type="dcterms:W3CDTF">2011-12-06T05:47:07Z</dcterms:created>
  <dcterms:modified xsi:type="dcterms:W3CDTF">2026-09-29T04:36:07Z</dcterms:modified>
</cp:coreProperties>
</file>